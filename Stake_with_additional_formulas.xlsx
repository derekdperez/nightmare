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cffd318ca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fba3d9dde948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$0.00"/>
    <x:numFmt numFmtId="165" formatCode="0.0000%"/>
  </x:numFmts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59999"/>
      </x:patternFill>
    </x:fill>
    <x:fill>
      <x:patternFill patternType="solid">
        <x:fgColor theme="0"/>
      </x:patternFill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1" xfId="0"/>
    <x:xf numFmtId="0" fontId="1" fillId="2" borderId="1" xfId="0"/>
    <x:xf numFmtId="0" fontId="0" fillId="0" borderId="1" xfId="0"/>
    <x:xf numFmtId="0" fontId="1" fillId="2" borderId="1" xfId="0"/>
    <x:xf numFmtId="0" fontId="0" fillId="0" borderId="2" xfId="0"/>
    <x:xf numFmtId="0" fontId="0" fillId="0" borderId="1" xfId="0"/>
    <x:xf numFmtId="0" fontId="0" fillId="3" borderId="3" xfId="0"/>
    <x:xf numFmtId="164" fontId="0" fillId="0" borderId="1" xfId="0"/>
    <x:xf numFmtId="165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0792858f4241bc" /><Relationship Type="http://schemas.openxmlformats.org/officeDocument/2006/relationships/theme" Target="/xl/theme/theme1.xml" Id="R8e7cb750b13c42cd" /><Relationship Type="http://schemas.openxmlformats.org/officeDocument/2006/relationships/sharedStrings" Target="/xl/sharedStrings.xml" Id="R1d799e580ad24353" /><Relationship Type="http://schemas.openxmlformats.org/officeDocument/2006/relationships/worksheet" Target="/xl/worksheets/sheet1.xml" Id="Rb5fba3d9dde948b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1" customWidth="1"/>
    <x:col min="2" max="2" width="11.140625" customWidth="1"/>
    <x:col min="3" max="3" width="14.7109375" customWidth="1"/>
    <x:col min="6" max="6" width="13.140625" customWidth="1"/>
    <x:col min="7" max="7" width="17.7109375" customWidth="1"/>
    <x:col min="8" max="8" width="17.5703125" customWidth="1"/>
  </x:cols>
  <x:sheetData>
    <x:row r="1">
      <x:c r="A1" t="inlineStr">
        <x:is>
          <x:t xml:space="preserve">Stake Calculations</x:t>
        </x:is>
      </x:c>
    </x:row>
    <x:row r="3">
      <x:c r="A3" s="4" t="inlineStr">
        <x:is>
          <x:t xml:space="preserve">Variables</x:t>
        </x:is>
      </x:c>
      <x:c r="B3" s="1" t="n"/>
      <x:c r="D3" s="4" t="inlineStr">
        <x:is>
          <x:t xml:space="preserve">Calculated Values</x:t>
        </x:is>
      </x:c>
      <x:c r="E3" s="5" t="n"/>
      <x:c r="F3" s="1" t="n"/>
    </x:row>
    <x:row r="4">
      <x:c r="A4" s="6" t="inlineStr">
        <x:is>
          <x:t xml:space="preserve">Starting Bet</x:t>
        </x:is>
      </x:c>
      <x:c r="B4" s="6" t="n">
        <x:v>0.25</x:v>
      </x:c>
      <x:c r="D4" s="6" t="inlineStr">
        <x:is>
          <x:t xml:space="preserve">Single Turn Win %</x:t>
        </x:is>
      </x:c>
      <x:c r="E4" s="5" t="n"/>
      <x:c r="F4" s="6">
        <x:f>100 - F5</x:f>
        <x:v>14.939999999999998</x:v>
      </x:c>
    </x:row>
    <x:row r="5">
      <x:c r="A5" s="6" t="inlineStr">
        <x:is>
          <x:t xml:space="preserve">Starting Bankroll</x:t>
        </x:is>
      </x:c>
      <x:c r="B5" s="6" t="n">
        <x:v>100</x:v>
      </x:c>
      <x:c r="D5" s="6" t="inlineStr">
        <x:is>
          <x:t xml:space="preserve">Single Turn Lose %</x:t>
        </x:is>
      </x:c>
      <x:c r="E5" s="5" t="n"/>
      <x:c r="F5" s="6">
        <x:f>(100-B6)</x:f>
        <x:v>85.06</x:v>
      </x:c>
    </x:row>
    <x:row r="6">
      <x:c r="A6" s="6" t="inlineStr">
        <x:is>
          <x:t xml:space="preserve">Target Multiplier</x:t>
        </x:is>
      </x:c>
      <x:c r="B6" s="6" t="n">
        <x:v>14.94</x:v>
      </x:c>
      <x:c r="D6" s="6" t="n"/>
      <x:c r="E6" s="6" t="n"/>
      <x:c r="F6" s="6" t="n"/>
    </x:row>
    <x:row r="7">
      <x:c r="A7" s="6" t="inlineStr">
        <x:is>
          <x:t xml:space="preserve">Turns Before Doubling</x:t>
        </x:is>
      </x:c>
      <x:c r="B7" s="6" t="n">
        <x:v>10</x:v>
      </x:c>
    </x:row>
    <x:row r="12">
      <x:c r="A12" t="inlineStr">
        <x:is>
          <x:t xml:space="preserve">Turn Simulation</x:t>
        </x:is>
      </x:c>
    </x:row>
    <x:row r="13">
      <x:c r="A13" s="1" t="inlineStr">
        <x:is>
          <x:t xml:space="preserve">Turn</x:t>
        </x:is>
      </x:c>
      <x:c r="B13" s="1" t="inlineStr">
        <x:is>
          <x:t xml:space="preserve">Current Bet</x:t>
        </x:is>
      </x:c>
      <x:c r="C13" s="1" t="inlineStr">
        <x:is>
          <x:t xml:space="preserve">Cumulative Bet</x:t>
        </x:is>
      </x:c>
      <x:c r="D13" s="1" t="inlineStr">
        <x:is>
          <x:t xml:space="preserve">Bankroll</x:t>
        </x:is>
      </x:c>
      <x:c r="E13" s="1" t="inlineStr">
        <x:is>
          <x:t xml:space="preserve">% Chance</x:t>
        </x:is>
      </x:c>
      <x:c r="F13" s="1" t="inlineStr">
        <x:is>
          <x:t xml:space="preserve">Profit On Win</x:t>
        </x:is>
      </x:c>
      <x:c r="G13" s="7" t="n"/>
      <x:c r="H13" s="7" t="n"/>
    </x:row>
    <x:row r="14">
      <x:c r="A14" s="6" t="n">
        <x:v>1</x:v>
      </x:c>
      <x:c r="B14" s="8">
        <x:f>$B$4*2^INT((A14-1)/$B$7)</x:f>
        <x:v>0.25</x:v>
      </x:c>
      <x:c r="C14" s="8">
        <x:f>SUM($B$14:B14)</x:f>
        <x:v>0.25</x:v>
      </x:c>
      <x:c r="D14" s="8">
        <x:f>$B$5-C14</x:f>
        <x:v>99.75</x:v>
      </x:c>
      <x:c r="E14" s="9">
        <x:f>($F$5/100)^A14</x:f>
        <x:v>0.8506</x:v>
      </x:c>
      <x:c r="F14" s="8">
        <x:f>B14*$B$6</x:f>
        <x:v>3.735</x:v>
      </x:c>
    </x:row>
    <x:row r="15">
      <x:c r="A15" s="6" t="n">
        <x:v>2</x:v>
      </x:c>
      <x:c r="B15" s="8">
        <x:f>$B$4*2^INT((A15-1)/$B$7)</x:f>
        <x:v>0.25</x:v>
      </x:c>
      <x:c r="C15" s="8">
        <x:f>SUM($B$14:B15)</x:f>
        <x:v>0.5</x:v>
      </x:c>
      <x:c r="D15" s="8">
        <x:f>$B$5-C15</x:f>
        <x:v>99.5</x:v>
      </x:c>
      <x:c r="E15" s="9">
        <x:f>($F$5/100)^A15</x:f>
        <x:v>0.7235203600000001</x:v>
      </x:c>
      <x:c r="F15" s="8">
        <x:f>B15*$B$6</x:f>
        <x:v>3.735</x:v>
      </x:c>
    </x:row>
    <x:row r="16">
      <x:c r="A16" s="6" t="n">
        <x:v>3</x:v>
      </x:c>
      <x:c r="B16" s="8">
        <x:f>$B$4*2^INT((A16-1)/$B$7)</x:f>
        <x:v>0.25</x:v>
      </x:c>
      <x:c r="C16" s="8">
        <x:f>SUM($B$14:B16)</x:f>
        <x:v>0.75</x:v>
      </x:c>
      <x:c r="D16" s="8">
        <x:f>$B$5-C16</x:f>
        <x:v>99.25</x:v>
      </x:c>
      <x:c r="E16" s="9">
        <x:f>($F$5/100)^A16</x:f>
        <x:v>0.6154264182160001</x:v>
      </x:c>
      <x:c r="F16" s="8">
        <x:f>B16*$B$6</x:f>
        <x:v>3.735</x:v>
      </x:c>
    </x:row>
    <x:row r="17">
      <x:c r="A17" s="6" t="n">
        <x:v>4</x:v>
      </x:c>
      <x:c r="B17" s="8">
        <x:f>$B$4*2^INT((A17-1)/$B$7)</x:f>
        <x:v>0.25</x:v>
      </x:c>
      <x:c r="C17" s="8">
        <x:f>SUM($B$14:B17)</x:f>
        <x:v>1</x:v>
      </x:c>
      <x:c r="D17" s="8">
        <x:f>$B$5-C17</x:f>
        <x:v>99</x:v>
      </x:c>
      <x:c r="E17" s="9">
        <x:f>($F$5/100)^A17</x:f>
        <x:v>0.5234817113345297</x:v>
      </x:c>
      <x:c r="F17" s="8">
        <x:f>B17*$B$6</x:f>
        <x:v>3.735</x:v>
      </x:c>
    </x:row>
    <x:row r="18">
      <x:c r="A18" s="6" t="n">
        <x:v>5</x:v>
      </x:c>
      <x:c r="B18" s="8">
        <x:f>$B$4*2^INT((A18-1)/$B$7)</x:f>
        <x:v>0.25</x:v>
      </x:c>
      <x:c r="C18" s="8">
        <x:f>SUM($B$14:B18)</x:f>
        <x:v>1.25</x:v>
      </x:c>
      <x:c r="D18" s="8">
        <x:f>$B$5-C18</x:f>
        <x:v>98.75</x:v>
      </x:c>
      <x:c r="E18" s="9">
        <x:f>($F$5/100)^A18</x:f>
        <x:v>0.44527354366115096</x:v>
      </x:c>
      <x:c r="F18" s="8">
        <x:f>B18*$B$6</x:f>
        <x:v>3.735</x:v>
      </x:c>
    </x:row>
    <x:row r="19">
      <x:c r="A19" s="6" t="n">
        <x:v>6</x:v>
      </x:c>
      <x:c r="B19" s="8">
        <x:f>$B$4*2^INT((A19-1)/$B$7)</x:f>
        <x:v>0.25</x:v>
      </x:c>
      <x:c r="C19" s="8">
        <x:f>SUM($B$14:B19)</x:f>
        <x:v>1.5</x:v>
      </x:c>
      <x:c r="D19" s="8">
        <x:f>$B$5-C19</x:f>
        <x:v>98.5</x:v>
      </x:c>
      <x:c r="E19" s="9">
        <x:f>($F$5/100)^A19</x:f>
        <x:v>0.37874967623817507</x:v>
      </x:c>
      <x:c r="F19" s="8">
        <x:f>B19*$B$6</x:f>
        <x:v>3.735</x:v>
      </x:c>
    </x:row>
    <x:row r="20">
      <x:c r="A20" s="6" t="n">
        <x:v>7</x:v>
      </x:c>
      <x:c r="B20" s="8">
        <x:f>$B$4*2^INT((A20-1)/$B$7)</x:f>
        <x:v>0.25</x:v>
      </x:c>
      <x:c r="C20" s="8">
        <x:f>SUM($B$14:B20)</x:f>
        <x:v>1.75</x:v>
      </x:c>
      <x:c r="D20" s="8">
        <x:f>$B$5-C20</x:f>
        <x:v>98.25</x:v>
      </x:c>
      <x:c r="E20" s="9">
        <x:f>($F$5/100)^A20</x:f>
        <x:v>0.3221644746081917</x:v>
      </x:c>
      <x:c r="F20" s="8">
        <x:f>B20*$B$6</x:f>
        <x:v>3.735</x:v>
      </x:c>
    </x:row>
    <x:row r="21">
      <x:c r="A21" s="6" t="n">
        <x:v>8</x:v>
      </x:c>
      <x:c r="B21" s="8">
        <x:f>$B$4*2^INT((A21-1)/$B$7)</x:f>
        <x:v>0.25</x:v>
      </x:c>
      <x:c r="C21" s="8">
        <x:f>SUM($B$14:B21)</x:f>
        <x:v>2</x:v>
      </x:c>
      <x:c r="D21" s="8">
        <x:f>$B$5-C21</x:f>
        <x:v>98</x:v>
      </x:c>
      <x:c r="E21" s="9">
        <x:f>($F$5/100)^A21</x:f>
        <x:v>0.2740331021017279</x:v>
      </x:c>
      <x:c r="F21" s="8">
        <x:f>B21*$B$6</x:f>
        <x:v>3.735</x:v>
      </x:c>
    </x:row>
    <x:row r="22">
      <x:c r="A22" s="6" t="n">
        <x:v>9</x:v>
      </x:c>
      <x:c r="B22" s="8">
        <x:f>$B$4*2^INT((A22-1)/$B$7)</x:f>
        <x:v>0.25</x:v>
      </x:c>
      <x:c r="C22" s="8">
        <x:f>SUM($B$14:B22)</x:f>
        <x:v>2.25</x:v>
      </x:c>
      <x:c r="D22" s="8">
        <x:f>$B$5-C22</x:f>
        <x:v>97.75</x:v>
      </x:c>
      <x:c r="E22" s="9">
        <x:f>($F$5/100)^A22</x:f>
        <x:v>0.23309255664772974</x:v>
      </x:c>
      <x:c r="F22" s="8">
        <x:f>B22*$B$6</x:f>
        <x:v>3.735</x:v>
      </x:c>
    </x:row>
    <x:row r="23">
      <x:c r="A23" s="6" t="n">
        <x:v>10</x:v>
      </x:c>
      <x:c r="B23" s="8">
        <x:f>$B$4*2^INT((A23-1)/$B$7)</x:f>
        <x:v>0.25</x:v>
      </x:c>
      <x:c r="C23" s="8">
        <x:f>SUM($B$14:B23)</x:f>
        <x:v>2.5</x:v>
      </x:c>
      <x:c r="D23" s="8">
        <x:f>$B$5-C23</x:f>
        <x:v>97.5</x:v>
      </x:c>
      <x:c r="E23" s="9">
        <x:f>($F$5/100)^A23</x:f>
        <x:v>0.19826852868455894</x:v>
      </x:c>
      <x:c r="F23" s="8">
        <x:f>B23*$B$6</x:f>
        <x:v>3.735</x:v>
      </x:c>
    </x:row>
    <x:row r="24">
      <x:c r="A24" s="6" t="n">
        <x:v>11</x:v>
      </x:c>
      <x:c r="B24" s="8">
        <x:f>$B$4*2^INT((A24-1)/$B$7)</x:f>
        <x:v>0.5</x:v>
      </x:c>
      <x:c r="C24" s="8">
        <x:f>SUM($B$14:B24)</x:f>
        <x:v>3</x:v>
      </x:c>
      <x:c r="D24" s="8">
        <x:f>$B$5-C24</x:f>
        <x:v>97</x:v>
      </x:c>
      <x:c r="E24" s="9">
        <x:f>($F$5/100)^A24</x:f>
        <x:v>0.16864721049908582</x:v>
      </x:c>
      <x:c r="F24" s="8">
        <x:f>B24*$B$6</x:f>
        <x:v>7.47</x:v>
      </x:c>
    </x:row>
    <x:row r="25">
      <x:c r="A25" s="6" t="n">
        <x:v>12</x:v>
      </x:c>
      <x:c r="B25" s="8">
        <x:f>$B$4*2^INT((A25-1)/$B$7)</x:f>
        <x:v>0.5</x:v>
      </x:c>
      <x:c r="C25" s="8">
        <x:f>SUM($B$14:B25)</x:f>
        <x:v>3.5</x:v>
      </x:c>
      <x:c r="D25" s="8">
        <x:f>$B$5-C25</x:f>
        <x:v>96.5</x:v>
      </x:c>
      <x:c r="E25" s="9">
        <x:f>($F$5/100)^A25</x:f>
        <x:v>0.1434513172505224</x:v>
      </x:c>
      <x:c r="F25" s="8">
        <x:f>B25*$B$6</x:f>
        <x:v>7.47</x:v>
      </x:c>
    </x:row>
    <x:row r="26">
      <x:c r="A26" s="6" t="n">
        <x:v>13</x:v>
      </x:c>
      <x:c r="B26" s="8">
        <x:f>$B$4*2^INT((A26-1)/$B$7)</x:f>
        <x:v>0.5</x:v>
      </x:c>
      <x:c r="C26" s="8">
        <x:f>SUM($B$14:B26)</x:f>
        <x:v>4</x:v>
      </x:c>
      <x:c r="D26" s="8">
        <x:f>$B$5-C26</x:f>
        <x:v>96</x:v>
      </x:c>
      <x:c r="E26" s="9">
        <x:f>($F$5/100)^A26</x:f>
        <x:v>0.12201969045329436</x:v>
      </x:c>
      <x:c r="F26" s="8">
        <x:f>B26*$B$6</x:f>
        <x:v>7.47</x:v>
      </x:c>
    </x:row>
    <x:row r="27">
      <x:c r="A27" s="6" t="n">
        <x:v>14</x:v>
      </x:c>
      <x:c r="B27" s="8">
        <x:f>$B$4*2^INT((A27-1)/$B$7)</x:f>
        <x:v>0.5</x:v>
      </x:c>
      <x:c r="C27" s="8">
        <x:f>SUM($B$14:B27)</x:f>
        <x:v>4.5</x:v>
      </x:c>
      <x:c r="D27" s="8">
        <x:f>$B$5-C27</x:f>
        <x:v>95.5</x:v>
      </x:c>
      <x:c r="E27" s="9">
        <x:f>($F$5/100)^A27</x:f>
        <x:v>0.10378994869957221</x:v>
      </x:c>
      <x:c r="F27" s="8">
        <x:f>B27*$B$6</x:f>
        <x:v>7.47</x:v>
      </x:c>
    </x:row>
    <x:row r="28">
      <x:c r="A28" s="6" t="n">
        <x:v>15</x:v>
      </x:c>
      <x:c r="B28" s="8">
        <x:f>$B$4*2^INT((A28-1)/$B$7)</x:f>
        <x:v>0.5</x:v>
      </x:c>
      <x:c r="C28" s="8">
        <x:f>SUM($B$14:B28)</x:f>
        <x:v>5</x:v>
      </x:c>
      <x:c r="D28" s="8">
        <x:f>$B$5-C28</x:f>
        <x:v>95</x:v>
      </x:c>
      <x:c r="E28" s="9">
        <x:f>($F$5/100)^A28</x:f>
        <x:v>0.08828373036385612</x:v>
      </x:c>
      <x:c r="F28" s="8">
        <x:f>B28*$B$6</x:f>
        <x:v>7.47</x:v>
      </x:c>
    </x:row>
    <x:row r="29">
      <x:c r="A29" s="6" t="n">
        <x:v>16</x:v>
      </x:c>
      <x:c r="B29" s="8">
        <x:f>$B$4*2^INT((A29-1)/$B$7)</x:f>
        <x:v>0.5</x:v>
      </x:c>
      <x:c r="C29" s="8">
        <x:f>SUM($B$14:B29)</x:f>
        <x:v>5.5</x:v>
      </x:c>
      <x:c r="D29" s="8">
        <x:f>$B$5-C29</x:f>
        <x:v>94.5</x:v>
      </x:c>
      <x:c r="E29" s="9">
        <x:f>($F$5/100)^A29</x:f>
        <x:v>0.07509414104749601</x:v>
      </x:c>
      <x:c r="F29" s="8">
        <x:f>B29*$B$6</x:f>
        <x:v>7.47</x:v>
      </x:c>
    </x:row>
    <x:row r="30">
      <x:c r="A30" s="6" t="n">
        <x:v>17</x:v>
      </x:c>
      <x:c r="B30" s="8">
        <x:f>$B$4*2^INT((A30-1)/$B$7)</x:f>
        <x:v>0.5</x:v>
      </x:c>
      <x:c r="C30" s="8">
        <x:f>SUM($B$14:B30)</x:f>
        <x:v>6</x:v>
      </x:c>
      <x:c r="D30" s="8">
        <x:f>$B$5-C30</x:f>
        <x:v>94</x:v>
      </x:c>
      <x:c r="E30" s="9">
        <x:f>($F$5/100)^A30</x:f>
        <x:v>0.0638750763750001</x:v>
      </x:c>
      <x:c r="F30" s="8">
        <x:f>B30*$B$6</x:f>
        <x:v>7.47</x:v>
      </x:c>
    </x:row>
    <x:row r="31">
      <x:c r="A31" s="6" t="n">
        <x:v>18</x:v>
      </x:c>
      <x:c r="B31" s="8">
        <x:f>$B$4*2^INT((A31-1)/$B$7)</x:f>
        <x:v>0.5</x:v>
      </x:c>
      <x:c r="C31" s="8">
        <x:f>SUM($B$14:B31)</x:f>
        <x:v>6.5</x:v>
      </x:c>
      <x:c r="D31" s="8">
        <x:f>$B$5-C31</x:f>
        <x:v>93.5</x:v>
      </x:c>
      <x:c r="E31" s="9">
        <x:f>($F$5/100)^A31</x:f>
        <x:v>0.054332139964575095</x:v>
      </x:c>
      <x:c r="F31" s="8">
        <x:f>B31*$B$6</x:f>
        <x:v>7.47</x:v>
      </x:c>
    </x:row>
    <x:row r="32">
      <x:c r="A32" s="6" t="n">
        <x:v>19</x:v>
      </x:c>
      <x:c r="B32" s="8">
        <x:f>$B$4*2^INT((A32-1)/$B$7)</x:f>
        <x:v>0.5</x:v>
      </x:c>
      <x:c r="C32" s="8">
        <x:f>SUM($B$14:B32)</x:f>
        <x:v>7</x:v>
      </x:c>
      <x:c r="D32" s="8">
        <x:f>$B$5-C32</x:f>
        <x:v>93</x:v>
      </x:c>
      <x:c r="E32" s="9">
        <x:f>($F$5/100)^A32</x:f>
        <x:v>0.04621491825386758</x:v>
      </x:c>
      <x:c r="F32" s="8">
        <x:f>B32*$B$6</x:f>
        <x:v>7.47</x:v>
      </x:c>
    </x:row>
    <x:row r="33">
      <x:c r="A33" s="6" t="n">
        <x:v>20</x:v>
      </x:c>
      <x:c r="B33" s="8">
        <x:f>$B$4*2^INT((A33-1)/$B$7)</x:f>
        <x:v>0.5</x:v>
      </x:c>
      <x:c r="C33" s="8">
        <x:f>SUM($B$14:B33)</x:f>
        <x:v>7.5</x:v>
      </x:c>
      <x:c r="D33" s="8">
        <x:f>$B$5-C33</x:f>
        <x:v>92.5</x:v>
      </x:c>
      <x:c r="E33" s="9">
        <x:f>($F$5/100)^A33</x:f>
        <x:v>0.03931040946673976</x:v>
      </x:c>
      <x:c r="F33" s="8">
        <x:f>B33*$B$6</x:f>
        <x:v>7.47</x:v>
      </x:c>
    </x:row>
    <x:row r="34">
      <x:c r="A34" s="6" t="n">
        <x:v>21</x:v>
      </x:c>
      <x:c r="B34" s="8">
        <x:f>$B$4*2^INT((A34-1)/$B$7)</x:f>
        <x:v>1</x:v>
      </x:c>
      <x:c r="C34" s="8">
        <x:f>SUM($B$14:B34)</x:f>
        <x:v>8.5</x:v>
      </x:c>
      <x:c r="D34" s="8">
        <x:f>$B$5-C34</x:f>
        <x:v>91.5</x:v>
      </x:c>
      <x:c r="E34" s="9">
        <x:f>($F$5/100)^A34</x:f>
        <x:v>0.03343743429240884</x:v>
      </x:c>
      <x:c r="F34" s="8">
        <x:f>B34*$B$6</x:f>
        <x:v>14.94</x:v>
      </x:c>
    </x:row>
    <x:row r="35">
      <x:c r="A35" s="6" t="n">
        <x:v>22</x:v>
      </x:c>
      <x:c r="B35" s="8">
        <x:f>$B$4*2^INT((A35-1)/$B$7)</x:f>
        <x:v>1</x:v>
      </x:c>
      <x:c r="C35" s="8">
        <x:f>SUM($B$14:B35)</x:f>
        <x:v>9.5</x:v>
      </x:c>
      <x:c r="D35" s="8">
        <x:f>$B$5-C35</x:f>
        <x:v>90.5</x:v>
      </x:c>
      <x:c r="E35" s="9">
        <x:f>($F$5/100)^A35</x:f>
        <x:v>0.028441881609122966</x:v>
      </x:c>
      <x:c r="F35" s="8">
        <x:f>B35*$B$6</x:f>
        <x:v>14.94</x:v>
      </x:c>
    </x:row>
    <x:row r="36">
      <x:c r="A36" s="6" t="n">
        <x:v>23</x:v>
      </x:c>
      <x:c r="B36" s="8">
        <x:f>$B$4*2^INT((A36-1)/$B$7)</x:f>
        <x:v>1</x:v>
      </x:c>
      <x:c r="C36" s="8">
        <x:f>SUM($B$14:B36)</x:f>
        <x:v>10.5</x:v>
      </x:c>
      <x:c r="D36" s="8">
        <x:f>$B$5-C36</x:f>
        <x:v>89.5</x:v>
      </x:c>
      <x:c r="E36" s="9">
        <x:f>($F$5/100)^A36</x:f>
        <x:v>0.024192664496719994</x:v>
      </x:c>
      <x:c r="F36" s="8">
        <x:f>B36*$B$6</x:f>
        <x:v>14.94</x:v>
      </x:c>
    </x:row>
    <x:row r="37">
      <x:c r="A37" s="6" t="n">
        <x:v>24</x:v>
      </x:c>
      <x:c r="B37" s="8">
        <x:f>$B$4*2^INT((A37-1)/$B$7)</x:f>
        <x:v>1</x:v>
      </x:c>
      <x:c r="C37" s="8">
        <x:f>SUM($B$14:B37)</x:f>
        <x:v>11.5</x:v>
      </x:c>
      <x:c r="D37" s="8">
        <x:f>$B$5-C37</x:f>
        <x:v>88.5</x:v>
      </x:c>
      <x:c r="E37" s="9">
        <x:f>($F$5/100)^A37</x:f>
        <x:v>0.02057828042091003</x:v>
      </x:c>
      <x:c r="F37" s="8">
        <x:f>B37*$B$6</x:f>
        <x:v>14.94</x:v>
      </x:c>
    </x:row>
    <x:row r="38">
      <x:c r="A38" s="6" t="n">
        <x:v>25</x:v>
      </x:c>
      <x:c r="B38" s="8">
        <x:f>$B$4*2^INT((A38-1)/$B$7)</x:f>
        <x:v>1</x:v>
      </x:c>
      <x:c r="C38" s="8">
        <x:f>SUM($B$14:B38)</x:f>
        <x:v>12.5</x:v>
      </x:c>
      <x:c r="D38" s="8">
        <x:f>$B$5-C38</x:f>
        <x:v>87.5</x:v>
      </x:c>
      <x:c r="E38" s="9">
        <x:f>($F$5/100)^A38</x:f>
        <x:v>0.01750388532602607</x:v>
      </x:c>
      <x:c r="F38" s="8">
        <x:f>B38*$B$6</x:f>
        <x:v>14.94</x:v>
      </x:c>
    </x:row>
    <x:row r="39">
      <x:c r="A39" s="6" t="n">
        <x:v>26</x:v>
      </x:c>
      <x:c r="B39" s="8">
        <x:f>$B$4*2^INT((A39-1)/$B$7)</x:f>
        <x:v>1</x:v>
      </x:c>
      <x:c r="C39" s="8">
        <x:f>SUM($B$14:B39)</x:f>
        <x:v>13.5</x:v>
      </x:c>
      <x:c r="D39" s="8">
        <x:f>$B$5-C39</x:f>
        <x:v>86.5</x:v>
      </x:c>
      <x:c r="E39" s="9">
        <x:f>($F$5/100)^A39</x:f>
        <x:v>0.014888804858317778</x:v>
      </x:c>
      <x:c r="F39" s="8">
        <x:f>B39*$B$6</x:f>
        <x:v>14.94</x:v>
      </x:c>
    </x:row>
    <x:row r="40">
      <x:c r="A40" s="6" t="n">
        <x:v>27</x:v>
      </x:c>
      <x:c r="B40" s="8">
        <x:f>$B$4*2^INT((A40-1)/$B$7)</x:f>
        <x:v>1</x:v>
      </x:c>
      <x:c r="C40" s="8">
        <x:f>SUM($B$14:B40)</x:f>
        <x:v>14.5</x:v>
      </x:c>
      <x:c r="D40" s="8">
        <x:f>$B$5-C40</x:f>
        <x:v>85.5</x:v>
      </x:c>
      <x:c r="E40" s="9">
        <x:f>($F$5/100)^A40</x:f>
        <x:v>0.0126644174124851</x:v>
      </x:c>
      <x:c r="F40" s="8">
        <x:f>B40*$B$6</x:f>
        <x:v>14.94</x:v>
      </x:c>
    </x:row>
    <x:row r="41">
      <x:c r="A41" s="6" t="n">
        <x:v>28</x:v>
      </x:c>
      <x:c r="B41" s="8">
        <x:f>$B$4*2^INT((A41-1)/$B$7)</x:f>
        <x:v>1</x:v>
      </x:c>
      <x:c r="C41" s="8">
        <x:f>SUM($B$14:B41)</x:f>
        <x:v>15.5</x:v>
      </x:c>
      <x:c r="D41" s="8">
        <x:f>$B$5-C41</x:f>
        <x:v>84.5</x:v>
      </x:c>
      <x:c r="E41" s="9">
        <x:f>($F$5/100)^A41</x:f>
        <x:v>0.010772353451059827</x:v>
      </x:c>
      <x:c r="F41" s="8">
        <x:f>B41*$B$6</x:f>
        <x:v>14.94</x:v>
      </x:c>
    </x:row>
    <x:row r="42">
      <x:c r="A42" s="6" t="n">
        <x:v>29</x:v>
      </x:c>
      <x:c r="B42" s="8">
        <x:f>$B$4*2^INT((A42-1)/$B$7)</x:f>
        <x:v>1</x:v>
      </x:c>
      <x:c r="C42" s="8">
        <x:f>SUM($B$14:B42)</x:f>
        <x:v>16.5</x:v>
      </x:c>
      <x:c r="D42" s="8">
        <x:f>$B$5-C42</x:f>
        <x:v>83.5</x:v>
      </x:c>
      <x:c r="E42" s="9">
        <x:f>($F$5/100)^A42</x:f>
        <x:v>0.00916296384547149</x:v>
      </x:c>
      <x:c r="F42" s="8">
        <x:f>B42*$B$6</x:f>
        <x:v>14.94</x:v>
      </x:c>
    </x:row>
    <x:row r="43">
      <x:c r="A43" s="6" t="n">
        <x:v>30</x:v>
      </x:c>
      <x:c r="B43" s="8">
        <x:f>$B$4*2^INT((A43-1)/$B$7)</x:f>
        <x:v>1</x:v>
      </x:c>
      <x:c r="C43" s="8">
        <x:f>SUM($B$14:B43)</x:f>
        <x:v>17.5</x:v>
      </x:c>
      <x:c r="D43" s="8">
        <x:f>$B$5-C43</x:f>
        <x:v>82.5</x:v>
      </x:c>
      <x:c r="E43" s="9">
        <x:f>($F$5/100)^A43</x:f>
        <x:v>0.007794017046958051</x:v>
      </x:c>
      <x:c r="F43" s="8">
        <x:f>B43*$B$6</x:f>
        <x:v>14.94</x:v>
      </x:c>
    </x:row>
    <x:row r="44">
      <x:c r="A44" s="6" t="n">
        <x:v>31</x:v>
      </x:c>
      <x:c r="B44" s="8">
        <x:f>$B$4*2^INT((A44-1)/$B$7)</x:f>
        <x:v>2</x:v>
      </x:c>
      <x:c r="C44" s="8">
        <x:f>SUM($B$14:B44)</x:f>
        <x:v>19.5</x:v>
      </x:c>
      <x:c r="D44" s="8">
        <x:f>$B$5-C44</x:f>
        <x:v>80.5</x:v>
      </x:c>
      <x:c r="E44" s="9">
        <x:f>($F$5/100)^A44</x:f>
        <x:v>0.006629590900142517</x:v>
      </x:c>
      <x:c r="F44" s="8">
        <x:f>B44*$B$6</x:f>
        <x:v>29.88</x:v>
      </x:c>
    </x:row>
    <x:row r="45">
      <x:c r="A45" s="6" t="n">
        <x:v>32</x:v>
      </x:c>
      <x:c r="B45" s="8">
        <x:f>$B$4*2^INT((A45-1)/$B$7)</x:f>
        <x:v>2</x:v>
      </x:c>
      <x:c r="C45" s="8">
        <x:f>SUM($B$14:B45)</x:f>
        <x:v>21.5</x:v>
      </x:c>
      <x:c r="D45" s="8">
        <x:f>$B$5-C45</x:f>
        <x:v>78.5</x:v>
      </x:c>
      <x:c r="E45" s="9">
        <x:f>($F$5/100)^A45</x:f>
        <x:v>0.005639130019661225</x:v>
      </x:c>
      <x:c r="F45" s="8">
        <x:f>B45*$B$6</x:f>
        <x:v>29.88</x:v>
      </x:c>
    </x:row>
    <x:row r="46">
      <x:c r="A46" s="6" t="n">
        <x:v>33</x:v>
      </x:c>
      <x:c r="B46" s="8">
        <x:f>$B$4*2^INT((A46-1)/$B$7)</x:f>
        <x:v>2</x:v>
      </x:c>
      <x:c r="C46" s="8">
        <x:f>SUM($B$14:B46)</x:f>
        <x:v>23.5</x:v>
      </x:c>
      <x:c r="D46" s="8">
        <x:f>$B$5-C46</x:f>
        <x:v>76.5</x:v>
      </x:c>
      <x:c r="E46" s="9">
        <x:f>($F$5/100)^A46</x:f>
        <x:v>0.004796643994723838</x:v>
      </x:c>
      <x:c r="F46" s="8">
        <x:f>B46*$B$6</x:f>
        <x:v>29.88</x:v>
      </x:c>
    </x:row>
    <x:row r="47">
      <x:c r="A47" s="6" t="n">
        <x:v>34</x:v>
      </x:c>
      <x:c r="B47" s="8">
        <x:f>$B$4*2^INT((A47-1)/$B$7)</x:f>
        <x:v>2</x:v>
      </x:c>
      <x:c r="C47" s="8">
        <x:f>SUM($B$14:B47)</x:f>
        <x:v>25.5</x:v>
      </x:c>
      <x:c r="D47" s="8">
        <x:f>$B$5-C47</x:f>
        <x:v>74.5</x:v>
      </x:c>
      <x:c r="E47" s="9">
        <x:f>($F$5/100)^A47</x:f>
        <x:v>0.004080025381912097</x:v>
      </x:c>
      <x:c r="F47" s="8">
        <x:f>B47*$B$6</x:f>
        <x:v>29.88</x:v>
      </x:c>
    </x:row>
    <x:row r="48">
      <x:c r="A48" s="6" t="n">
        <x:v>35</x:v>
      </x:c>
      <x:c r="B48" s="8">
        <x:f>$B$4*2^INT((A48-1)/$B$7)</x:f>
        <x:v>2</x:v>
      </x:c>
      <x:c r="C48" s="8">
        <x:f>SUM($B$14:B48)</x:f>
        <x:v>27.5</x:v>
      </x:c>
      <x:c r="D48" s="8">
        <x:f>$B$5-C48</x:f>
        <x:v>72.5</x:v>
      </x:c>
      <x:c r="E48" s="9">
        <x:f>($F$5/100)^A48</x:f>
        <x:v>0.00347046958985443</x:v>
      </x:c>
      <x:c r="F48" s="8">
        <x:f>B48*$B$6</x:f>
        <x:v>29.88</x:v>
      </x:c>
    </x:row>
    <x:row r="49">
      <x:c r="A49" s="6" t="n">
        <x:v>36</x:v>
      </x:c>
      <x:c r="B49" s="8">
        <x:f>$B$4*2^INT((A49-1)/$B$7)</x:f>
        <x:v>2</x:v>
      </x:c>
      <x:c r="C49" s="8">
        <x:f>SUM($B$14:B49)</x:f>
        <x:v>29.5</x:v>
      </x:c>
      <x:c r="D49" s="8">
        <x:f>$B$5-C49</x:f>
        <x:v>70.5</x:v>
      </x:c>
      <x:c r="E49" s="9">
        <x:f>($F$5/100)^A49</x:f>
        <x:v>0.002951981433130178</x:v>
      </x:c>
      <x:c r="F49" s="8">
        <x:f>B49*$B$6</x:f>
        <x:v>29.88</x:v>
      </x:c>
    </x:row>
    <x:row r="50">
      <x:c r="A50" s="6" t="n">
        <x:v>37</x:v>
      </x:c>
      <x:c r="B50" s="8">
        <x:f>$B$4*2^INT((A50-1)/$B$7)</x:f>
        <x:v>2</x:v>
      </x:c>
      <x:c r="C50" s="8">
        <x:f>SUM($B$14:B50)</x:f>
        <x:v>31.5</x:v>
      </x:c>
      <x:c r="D50" s="8">
        <x:f>$B$5-C50</x:f>
        <x:v>68.5</x:v>
      </x:c>
      <x:c r="E50" s="9">
        <x:f>($F$5/100)^A50</x:f>
        <x:v>0.0025109554070205293</x:v>
      </x:c>
      <x:c r="F50" s="8">
        <x:f>B50*$B$6</x:f>
        <x:v>29.88</x:v>
      </x:c>
    </x:row>
    <x:row r="51">
      <x:c r="A51" s="6" t="n">
        <x:v>38</x:v>
      </x:c>
      <x:c r="B51" s="8">
        <x:f>$B$4*2^INT((A51-1)/$B$7)</x:f>
        <x:v>2</x:v>
      </x:c>
      <x:c r="C51" s="8">
        <x:f>SUM($B$14:B51)</x:f>
        <x:v>33.5</x:v>
      </x:c>
      <x:c r="D51" s="8">
        <x:f>$B$5-C51</x:f>
        <x:v>66.5</x:v>
      </x:c>
      <x:c r="E51" s="9">
        <x:f>($F$5/100)^A51</x:f>
        <x:v>0.002135818669211663</x:v>
      </x:c>
      <x:c r="F51" s="8">
        <x:f>B51*$B$6</x:f>
        <x:v>29.88</x:v>
      </x:c>
    </x:row>
    <x:row r="52">
      <x:c r="A52" s="6" t="n">
        <x:v>39</x:v>
      </x:c>
      <x:c r="B52" s="8">
        <x:f>$B$4*2^INT((A52-1)/$B$7)</x:f>
        <x:v>2</x:v>
      </x:c>
      <x:c r="C52" s="8">
        <x:f>SUM($B$14:B52)</x:f>
        <x:v>35.5</x:v>
      </x:c>
      <x:c r="D52" s="8">
        <x:f>$B$5-C52</x:f>
        <x:v>64.5</x:v>
      </x:c>
      <x:c r="E52" s="9">
        <x:f>($F$5/100)^A52</x:f>
        <x:v>0.0018167273600314402</x:v>
      </x:c>
      <x:c r="F52" s="8">
        <x:f>B52*$B$6</x:f>
        <x:v>29.88</x:v>
      </x:c>
    </x:row>
    <x:row r="53">
      <x:c r="A53" s="6" t="n">
        <x:v>40</x:v>
      </x:c>
      <x:c r="B53" s="8">
        <x:f>$B$4*2^INT((A53-1)/$B$7)</x:f>
        <x:v>2</x:v>
      </x:c>
      <x:c r="C53" s="8">
        <x:f>SUM($B$14:B53)</x:f>
        <x:v>37.5</x:v>
      </x:c>
      <x:c r="D53" s="8">
        <x:f>$B$5-C53</x:f>
        <x:v>62.5</x:v>
      </x:c>
      <x:c r="E53" s="9">
        <x:f>($F$5/100)^A53</x:f>
        <x:v>0.0015453082924427432</x:v>
      </x:c>
      <x:c r="F53" s="8">
        <x:f>B53*$B$6</x:f>
        <x:v>29.88</x:v>
      </x:c>
    </x:row>
    <x:row r="54">
      <x:c r="A54" s="6" t="n">
        <x:v>41</x:v>
      </x:c>
      <x:c r="B54" s="8">
        <x:f>$B$4*2^INT((A54-1)/$B$7)</x:f>
        <x:v>4</x:v>
      </x:c>
      <x:c r="C54" s="8">
        <x:f>SUM($B$14:B54)</x:f>
        <x:v>41.5</x:v>
      </x:c>
      <x:c r="D54" s="8">
        <x:f>$B$5-C54</x:f>
        <x:v>58.5</x:v>
      </x:c>
      <x:c r="E54" s="9">
        <x:f>($F$5/100)^A54</x:f>
        <x:v>0.0013144392335517974</x:v>
      </x:c>
      <x:c r="F54" s="8">
        <x:f>B54*$B$6</x:f>
        <x:v>59.76</x:v>
      </x:c>
    </x:row>
    <x:row r="55">
      <x:c r="A55" s="6" t="n">
        <x:v>42</x:v>
      </x:c>
      <x:c r="B55" s="8">
        <x:f>$B$4*2^INT((A55-1)/$B$7)</x:f>
        <x:v>4</x:v>
      </x:c>
      <x:c r="C55" s="8">
        <x:f>SUM($B$14:B55)</x:f>
        <x:v>45.5</x:v>
      </x:c>
      <x:c r="D55" s="8">
        <x:f>$B$5-C55</x:f>
        <x:v>54.5</x:v>
      </x:c>
      <x:c r="E55" s="9">
        <x:f>($F$5/100)^A55</x:f>
        <x:v>0.001118062012059159</x:v>
      </x:c>
      <x:c r="F55" s="8">
        <x:f>B55*$B$6</x:f>
        <x:v>59.76</x:v>
      </x:c>
    </x:row>
    <x:row r="56">
      <x:c r="A56" s="6" t="n">
        <x:v>43</x:v>
      </x:c>
      <x:c r="B56" s="8">
        <x:f>$B$4*2^INT((A56-1)/$B$7)</x:f>
        <x:v>4</x:v>
      </x:c>
      <x:c r="C56" s="8">
        <x:f>SUM($B$14:B56)</x:f>
        <x:v>49.5</x:v>
      </x:c>
      <x:c r="D56" s="8">
        <x:f>$B$5-C56</x:f>
        <x:v>50.5</x:v>
      </x:c>
      <x:c r="E56" s="9">
        <x:f>($F$5/100)^A56</x:f>
        <x:v>0.0009510235474575206</x:v>
      </x:c>
      <x:c r="F56" s="8">
        <x:f>B56*$B$6</x:f>
        <x:v>59.76</x:v>
      </x:c>
    </x:row>
    <x:row r="57">
      <x:c r="A57" s="6" t="n">
        <x:v>44</x:v>
      </x:c>
      <x:c r="B57" s="8">
        <x:f>$B$4*2^INT((A57-1)/$B$7)</x:f>
        <x:v>4</x:v>
      </x:c>
      <x:c r="C57" s="8">
        <x:f>SUM($B$14:B57)</x:f>
        <x:v>53.5</x:v>
      </x:c>
      <x:c r="D57" s="8">
        <x:f>$B$5-C57</x:f>
        <x:v>46.5</x:v>
      </x:c>
      <x:c r="E57" s="9">
        <x:f>($F$5/100)^A57</x:f>
        <x:v>0.000808940629467367</x:v>
      </x:c>
      <x:c r="F57" s="8">
        <x:f>B57*$B$6</x:f>
        <x:v>59.76</x:v>
      </x:c>
    </x:row>
    <x:row r="58">
      <x:c r="A58" s="6" t="n">
        <x:v>45</x:v>
      </x:c>
      <x:c r="B58" s="8">
        <x:f>$B$4*2^INT((A58-1)/$B$7)</x:f>
        <x:v>4</x:v>
      </x:c>
      <x:c r="C58" s="8">
        <x:f>SUM($B$14:B58)</x:f>
        <x:v>57.5</x:v>
      </x:c>
      <x:c r="D58" s="8">
        <x:f>$B$5-C58</x:f>
        <x:v>42.5</x:v>
      </x:c>
      <x:c r="E58" s="9">
        <x:f>($F$5/100)^A58</x:f>
        <x:v>0.0006880848994249424</x:v>
      </x:c>
      <x:c r="F58" s="8">
        <x:f>B58*$B$6</x:f>
        <x:v>59.76</x:v>
      </x:c>
    </x:row>
    <x:row r="59">
      <x:c r="A59" s="6" t="n">
        <x:v>46</x:v>
      </x:c>
      <x:c r="B59" s="8">
        <x:f>$B$4*2^INT((A59-1)/$B$7)</x:f>
        <x:v>4</x:v>
      </x:c>
      <x:c r="C59" s="8">
        <x:f>SUM($B$14:B59)</x:f>
        <x:v>61.5</x:v>
      </x:c>
      <x:c r="D59" s="8">
        <x:f>$B$5-C59</x:f>
        <x:v>38.5</x:v>
      </x:c>
      <x:c r="E59" s="9">
        <x:f>($F$5/100)^A59</x:f>
        <x:v>0.0005852850154508561</x:v>
      </x:c>
      <x:c r="F59" s="8">
        <x:f>B59*$B$6</x:f>
        <x:v>59.76</x:v>
      </x:c>
    </x:row>
    <x:row r="60">
      <x:c r="A60" s="6" t="n">
        <x:v>47</x:v>
      </x:c>
      <x:c r="B60" s="8">
        <x:f>$B$4*2^INT((A60-1)/$B$7)</x:f>
        <x:v>4</x:v>
      </x:c>
      <x:c r="C60" s="8">
        <x:f>SUM($B$14:B60)</x:f>
        <x:v>65.5</x:v>
      </x:c>
      <x:c r="D60" s="8">
        <x:f>$B$5-C60</x:f>
        <x:v>34.5</x:v>
      </x:c>
      <x:c r="E60" s="9">
        <x:f>($F$5/100)^A60</x:f>
        <x:v>0.0004978434341424982</x:v>
      </x:c>
      <x:c r="F60" s="8">
        <x:f>B60*$B$6</x:f>
        <x:v>59.76</x:v>
      </x:c>
    </x:row>
    <x:row r="61">
      <x:c r="A61" s="6" t="n">
        <x:v>48</x:v>
      </x:c>
      <x:c r="B61" s="8">
        <x:f>$B$4*2^INT((A61-1)/$B$7)</x:f>
        <x:v>4</x:v>
      </x:c>
      <x:c r="C61" s="8">
        <x:f>SUM($B$14:B61)</x:f>
        <x:v>69.5</x:v>
      </x:c>
      <x:c r="D61" s="8">
        <x:f>$B$5-C61</x:f>
        <x:v>30.5</x:v>
      </x:c>
      <x:c r="E61" s="9">
        <x:f>($F$5/100)^A61</x:f>
        <x:v>0.00042346562508160896</x:v>
      </x:c>
      <x:c r="F61" s="8">
        <x:f>B61*$B$6</x:f>
        <x:v>59.76</x:v>
      </x:c>
    </x:row>
    <x:row r="62">
      <x:c r="A62" s="6" t="n">
        <x:v>49</x:v>
      </x:c>
      <x:c r="B62" s="8">
        <x:f>$B$4*2^INT((A62-1)/$B$7)</x:f>
        <x:v>4</x:v>
      </x:c>
      <x:c r="C62" s="8">
        <x:f>SUM($B$14:B62)</x:f>
        <x:v>73.5</x:v>
      </x:c>
      <x:c r="D62" s="8">
        <x:f>$B$5-C62</x:f>
        <x:v>26.5</x:v>
      </x:c>
      <x:c r="E62" s="9">
        <x:f>($F$5/100)^A62</x:f>
        <x:v>0.0003601998606944166</x:v>
      </x:c>
      <x:c r="F62" s="8">
        <x:f>B62*$B$6</x:f>
        <x:v>59.76</x:v>
      </x:c>
    </x:row>
    <x:row r="63">
      <x:c r="A63" s="6" t="n">
        <x:v>50</x:v>
      </x:c>
      <x:c r="B63" s="8">
        <x:f>$B$4*2^INT((A63-1)/$B$7)</x:f>
        <x:v>4</x:v>
      </x:c>
      <x:c r="C63" s="8">
        <x:f>SUM($B$14:B63)</x:f>
        <x:v>77.5</x:v>
      </x:c>
      <x:c r="D63" s="8">
        <x:f>$B$5-C63</x:f>
        <x:v>22.5</x:v>
      </x:c>
      <x:c r="E63" s="9">
        <x:f>($F$5/100)^A63</x:f>
        <x:v>0.0003063860015066708</x:v>
      </x:c>
      <x:c r="F63" s="8">
        <x:f>B63*$B$6</x:f>
        <x:v>59.76</x:v>
      </x:c>
    </x:row>
    <x:row r="64">
      <x:c r="A64" s="6" t="n">
        <x:v>51</x:v>
      </x:c>
      <x:c r="B64" s="8">
        <x:f>$B$4*2^INT((A64-1)/$B$7)</x:f>
        <x:v>8</x:v>
      </x:c>
      <x:c r="C64" s="8">
        <x:f>SUM($B$14:B64)</x:f>
        <x:v>85.5</x:v>
      </x:c>
      <x:c r="D64" s="8">
        <x:f>$B$5-C64</x:f>
        <x:v>14.5</x:v>
      </x:c>
      <x:c r="E64" s="9">
        <x:f>($F$5/100)^A64</x:f>
        <x:v>0.0002606119328815742</x:v>
      </x:c>
      <x:c r="F64" s="8">
        <x:f>B64*$B$6</x:f>
        <x:v>119.52</x:v>
      </x:c>
    </x:row>
    <x:row r="65">
      <x:c r="A65" s="6" t="n">
        <x:v>52</x:v>
      </x:c>
      <x:c r="B65" s="8">
        <x:f>$B$4*2^INT((A65-1)/$B$7)</x:f>
        <x:v>8</x:v>
      </x:c>
      <x:c r="C65" s="8">
        <x:f>SUM($B$14:B65)</x:f>
        <x:v>93.5</x:v>
      </x:c>
      <x:c r="D65" s="8">
        <x:f>$B$5-C65</x:f>
        <x:v>6.5</x:v>
      </x:c>
      <x:c r="E65" s="9">
        <x:f>($F$5/100)^A65</x:f>
        <x:v>0.000221676510109067</x:v>
      </x:c>
      <x:c r="F65" s="8">
        <x:f>B65*$B$6</x:f>
        <x:v>119.52</x:v>
      </x:c>
    </x:row>
    <x:row r="66">
      <x:c r="A66" s="6" t="n">
        <x:v>53</x:v>
      </x:c>
      <x:c r="B66" s="8">
        <x:f>$B$4*2^INT((A66-1)/$B$7)</x:f>
        <x:v>8</x:v>
      </x:c>
      <x:c r="C66" s="8">
        <x:f>SUM($B$14:B66)</x:f>
        <x:v>101.5</x:v>
      </x:c>
      <x:c r="D66" s="8">
        <x:f>$B$5-C66</x:f>
        <x:v>-1.5</x:v>
      </x:c>
      <x:c r="E66" s="9">
        <x:f>($F$5/100)^A66</x:f>
        <x:v>0.00018855803949877238</x:v>
      </x:c>
      <x:c r="F66" s="8">
        <x:f>B66*$B$6</x:f>
        <x:v>119.52</x:v>
      </x:c>
    </x:row>
    <x:row r="67">
      <x:c r="A67" s="6" t="n">
        <x:v>54</x:v>
      </x:c>
      <x:c r="B67" s="8">
        <x:f>$B$4*2^INT((A67-1)/$B$7)</x:f>
        <x:v>8</x:v>
      </x:c>
      <x:c r="C67" s="8">
        <x:f>SUM($B$14:B67)</x:f>
        <x:v>109.5</x:v>
      </x:c>
      <x:c r="D67" s="8">
        <x:f>$B$5-C67</x:f>
        <x:v>-9.5</x:v>
      </x:c>
      <x:c r="E67" s="9">
        <x:f>($F$5/100)^A67</x:f>
        <x:v>0.00016038746839765582</x:v>
      </x:c>
      <x:c r="F67" s="8">
        <x:f>B67*$B$6</x:f>
        <x:v>119.52</x:v>
      </x:c>
    </x:row>
    <x:row r="68">
      <x:c r="A68" s="6" t="n">
        <x:v>55</x:v>
      </x:c>
      <x:c r="B68" s="8">
        <x:f>$B$4*2^INT((A68-1)/$B$7)</x:f>
        <x:v>8</x:v>
      </x:c>
      <x:c r="C68" s="8">
        <x:f>SUM($B$14:B68)</x:f>
        <x:v>117.5</x:v>
      </x:c>
      <x:c r="D68" s="8">
        <x:f>$B$5-C68</x:f>
        <x:v>-17.5</x:v>
      </x:c>
      <x:c r="E68" s="9">
        <x:f>($F$5/100)^A68</x:f>
        <x:v>0.00013642558061904603</x:v>
      </x:c>
      <x:c r="F68" s="8">
        <x:f>B68*$B$6</x:f>
        <x:v>119.52</x:v>
      </x:c>
    </x:row>
    <x:row r="69">
      <x:c r="A69" s="6" t="n">
        <x:v>56</x:v>
      </x:c>
      <x:c r="B69" s="8">
        <x:f>$B$4*2^INT((A69-1)/$B$7)</x:f>
        <x:v>8</x:v>
      </x:c>
      <x:c r="C69" s="8">
        <x:f>SUM($B$14:B69)</x:f>
        <x:v>125.5</x:v>
      </x:c>
      <x:c r="D69" s="8">
        <x:f>$B$5-C69</x:f>
        <x:v>-25.5</x:v>
      </x:c>
      <x:c r="E69" s="9">
        <x:f>($F$5/100)^A69</x:f>
        <x:v>0.00011604359887456058</x:v>
      </x:c>
      <x:c r="F69" s="8">
        <x:f>B69*$B$6</x:f>
        <x:v>119.52</x:v>
      </x:c>
    </x:row>
    <x:row r="70">
      <x:c r="A70" s="6" t="n">
        <x:v>57</x:v>
      </x:c>
      <x:c r="B70" s="8">
        <x:f>$B$4*2^INT((A70-1)/$B$7)</x:f>
        <x:v>8</x:v>
      </x:c>
      <x:c r="C70" s="8">
        <x:f>SUM($B$14:B70)</x:f>
        <x:v>133.5</x:v>
      </x:c>
      <x:c r="D70" s="8">
        <x:f>$B$5-C70</x:f>
        <x:v>-33.5</x:v>
      </x:c>
      <x:c r="E70" s="9">
        <x:f>($F$5/100)^A70</x:f>
        <x:v>0.00009870668520270122</x:v>
      </x:c>
      <x:c r="F70" s="8">
        <x:f>B70*$B$6</x:f>
        <x:v>119.52</x:v>
      </x:c>
    </x:row>
    <x:row r="71">
      <x:c r="A71" s="6" t="n">
        <x:v>58</x:v>
      </x:c>
      <x:c r="B71" s="8">
        <x:f>$B$4*2^INT((A71-1)/$B$7)</x:f>
        <x:v>8</x:v>
      </x:c>
      <x:c r="C71" s="8">
        <x:f>SUM($B$14:B71)</x:f>
        <x:v>141.5</x:v>
      </x:c>
      <x:c r="D71" s="8">
        <x:f>$B$5-C71</x:f>
        <x:v>-41.5</x:v>
      </x:c>
      <x:c r="E71" s="9">
        <x:f>($F$5/100)^A71</x:f>
        <x:v>0.00008395990643341768</x:v>
      </x:c>
      <x:c r="F71" s="8">
        <x:f>B71*$B$6</x:f>
        <x:v>119.52</x:v>
      </x:c>
    </x:row>
    <x:row r="72">
      <x:c r="A72" s="6" t="n">
        <x:v>59</x:v>
      </x:c>
      <x:c r="B72" s="8">
        <x:f>$B$4*2^INT((A72-1)/$B$7)</x:f>
        <x:v>8</x:v>
      </x:c>
      <x:c r="C72" s="8">
        <x:f>SUM($B$14:B72)</x:f>
        <x:v>149.5</x:v>
      </x:c>
      <x:c r="D72" s="8">
        <x:f>$B$5-C72</x:f>
        <x:v>-49.5</x:v>
      </x:c>
      <x:c r="E72" s="9">
        <x:f>($F$5/100)^A72</x:f>
        <x:v>0.00007141629641226506</x:v>
      </x:c>
      <x:c r="F72" s="8">
        <x:f>B72*$B$6</x:f>
        <x:v>119.52</x:v>
      </x:c>
    </x:row>
    <x:row r="73">
      <x:c r="A73" s="6" t="n">
        <x:v>60</x:v>
      </x:c>
      <x:c r="B73" s="8">
        <x:f>$B$4*2^INT((A73-1)/$B$7)</x:f>
        <x:v>8</x:v>
      </x:c>
      <x:c r="C73" s="8">
        <x:f>SUM($B$14:B73)</x:f>
        <x:v>157.5</x:v>
      </x:c>
      <x:c r="D73" s="8">
        <x:f>$B$5-C73</x:f>
        <x:v>-57.5</x:v>
      </x:c>
      <x:c r="E73" s="9">
        <x:f>($F$5/100)^A73</x:f>
        <x:v>0.00006074670172827266</x:v>
      </x:c>
      <x:c r="F73" s="8">
        <x:f>B73*$B$6</x:f>
        <x:v>119.52</x:v>
      </x:c>
    </x:row>
    <x:row r="74">
      <x:c r="A74" s="6" t="n">
        <x:v>61</x:v>
      </x:c>
      <x:c r="B74" s="8">
        <x:f>$B$4*2^INT((A74-1)/$B$7)</x:f>
        <x:v>16</x:v>
      </x:c>
      <x:c r="C74" s="8">
        <x:f>SUM($B$14:B74)</x:f>
        <x:v>173.5</x:v>
      </x:c>
      <x:c r="D74" s="8">
        <x:f>$B$5-C74</x:f>
        <x:v>-73.5</x:v>
      </x:c>
      <x:c r="E74" s="9">
        <x:f>($F$5/100)^A74</x:f>
        <x:v>0.000051671144490068734</x:v>
      </x:c>
      <x:c r="F74" s="8">
        <x:f>B74*$B$6</x:f>
        <x:v>239.04</x:v>
      </x:c>
    </x:row>
    <x:row r="75">
      <x:c r="A75" s="6" t="n">
        <x:v>62</x:v>
      </x:c>
      <x:c r="B75" s="8">
        <x:f>$B$4*2^INT((A75-1)/$B$7)</x:f>
        <x:v>16</x:v>
      </x:c>
      <x:c r="C75" s="8">
        <x:f>SUM($B$14:B75)</x:f>
        <x:v>189.5</x:v>
      </x:c>
      <x:c r="D75" s="8">
        <x:f>$B$5-C75</x:f>
        <x:v>-89.5</x:v>
      </x:c>
      <x:c r="E75" s="9">
        <x:f>($F$5/100)^A75</x:f>
        <x:v>0.000043951475503252475</x:v>
      </x:c>
      <x:c r="F75" s="8">
        <x:f>B75*$B$6</x:f>
        <x:v>239.04</x:v>
      </x:c>
    </x:row>
    <x:row r="76">
      <x:c r="A76" s="6" t="n">
        <x:v>63</x:v>
      </x:c>
      <x:c r="B76" s="8">
        <x:f>$B$4*2^INT((A76-1)/$B$7)</x:f>
        <x:v>16</x:v>
      </x:c>
      <x:c r="C76" s="8">
        <x:f>SUM($B$14:B76)</x:f>
        <x:v>205.5</x:v>
      </x:c>
      <x:c r="D76" s="8">
        <x:f>$B$5-C76</x:f>
        <x:v>-105.5</x:v>
      </x:c>
      <x:c r="E76" s="9">
        <x:f>($F$5/100)^A76</x:f>
        <x:v>0.000037385125063066554</x:v>
      </x:c>
      <x:c r="F76" s="8">
        <x:f>B76*$B$6</x:f>
        <x:v>239.04</x:v>
      </x:c>
    </x:row>
    <x:row r="77">
      <x:c r="A77" s="6" t="n">
        <x:v>64</x:v>
      </x:c>
      <x:c r="B77" s="8">
        <x:f>$B$4*2^INT((A77-1)/$B$7)</x:f>
        <x:v>16</x:v>
      </x:c>
      <x:c r="C77" s="8">
        <x:f>SUM($B$14:B77)</x:f>
        <x:v>221.5</x:v>
      </x:c>
      <x:c r="D77" s="8">
        <x:f>$B$5-C77</x:f>
        <x:v>-121.5</x:v>
      </x:c>
      <x:c r="E77" s="9">
        <x:f>($F$5/100)^A77</x:f>
        <x:v>0.000031799787378644406</x:v>
      </x:c>
      <x:c r="F77" s="8">
        <x:f>B77*$B$6</x:f>
        <x:v>239.04</x:v>
      </x:c>
    </x:row>
    <x:row r="78">
      <x:c r="A78" s="6" t="n">
        <x:v>65</x:v>
      </x:c>
      <x:c r="B78" s="8">
        <x:f>$B$4*2^INT((A78-1)/$B$7)</x:f>
        <x:v>16</x:v>
      </x:c>
      <x:c r="C78" s="8">
        <x:f>SUM($B$14:B78)</x:f>
        <x:v>237.5</x:v>
      </x:c>
      <x:c r="D78" s="8">
        <x:f>$B$5-C78</x:f>
        <x:v>-137.5</x:v>
      </x:c>
      <x:c r="E78" s="9">
        <x:f>($F$5/100)^A78</x:f>
        <x:v>0.000027048899144274934</x:v>
      </x:c>
      <x:c r="F78" s="8">
        <x:f>B78*$B$6</x:f>
        <x:v>239.04</x:v>
      </x:c>
    </x:row>
    <x:row r="79">
      <x:c r="A79" s="6" t="n">
        <x:v>66</x:v>
      </x:c>
      <x:c r="B79" s="8">
        <x:f>$B$4*2^INT((A79-1)/$B$7)</x:f>
        <x:v>16</x:v>
      </x:c>
      <x:c r="C79" s="8">
        <x:f>SUM($B$14:B79)</x:f>
        <x:v>253.5</x:v>
      </x:c>
      <x:c r="D79" s="8">
        <x:f>$B$5-C79</x:f>
        <x:v>-153.5</x:v>
      </x:c>
      <x:c r="E79" s="9">
        <x:f>($F$5/100)^A79</x:f>
        <x:v>0.00002300779361212026</x:v>
      </x:c>
      <x:c r="F79" s="8">
        <x:f>B79*$B$6</x:f>
        <x:v>239.04</x:v>
      </x:c>
    </x:row>
    <x:row r="80">
      <x:c r="A80" s="6" t="n">
        <x:v>67</x:v>
      </x:c>
      <x:c r="B80" s="8">
        <x:f>$B$4*2^INT((A80-1)/$B$7)</x:f>
        <x:v>16</x:v>
      </x:c>
      <x:c r="C80" s="8">
        <x:f>SUM($B$14:B80)</x:f>
        <x:v>269.5</x:v>
      </x:c>
      <x:c r="D80" s="8">
        <x:f>$B$5-C80</x:f>
        <x:v>-169.5</x:v>
      </x:c>
      <x:c r="E80" s="9">
        <x:f>($F$5/100)^A80</x:f>
        <x:v>0.000019570429246469492</x:v>
      </x:c>
      <x:c r="F80" s="8">
        <x:f>B80*$B$6</x:f>
        <x:v>239.04</x:v>
      </x:c>
    </x:row>
    <x:row r="81">
      <x:c r="A81" s="6" t="n">
        <x:v>68</x:v>
      </x:c>
      <x:c r="B81" s="8">
        <x:f>$B$4*2^INT((A81-1)/$B$7)</x:f>
        <x:v>16</x:v>
      </x:c>
      <x:c r="C81" s="8">
        <x:f>SUM($B$14:B81)</x:f>
        <x:v>285.5</x:v>
      </x:c>
      <x:c r="D81" s="8">
        <x:f>$B$5-C81</x:f>
        <x:v>-185.5</x:v>
      </x:c>
      <x:c r="E81" s="9">
        <x:f>($F$5/100)^A81</x:f>
        <x:v>0.000016646607117046953</x:v>
      </x:c>
      <x:c r="F81" s="8">
        <x:f>B81*$B$6</x:f>
        <x:v>239.04</x:v>
      </x:c>
    </x:row>
    <x:row r="82">
      <x:c r="A82" s="6" t="n">
        <x:v>69</x:v>
      </x:c>
      <x:c r="B82" s="8">
        <x:f>$B$4*2^INT((A82-1)/$B$7)</x:f>
        <x:v>16</x:v>
      </x:c>
      <x:c r="C82" s="8">
        <x:f>SUM($B$14:B82)</x:f>
        <x:v>301.5</x:v>
      </x:c>
      <x:c r="D82" s="8">
        <x:f>$B$5-C82</x:f>
        <x:v>-201.5</x:v>
      </x:c>
      <x:c r="E82" s="9">
        <x:f>($F$5/100)^A82</x:f>
        <x:v>0.000014159604013760137</x:v>
      </x:c>
      <x:c r="F82" s="8">
        <x:f>B82*$B$6</x:f>
        <x:v>239.04</x:v>
      </x:c>
    </x:row>
    <x:row r="83">
      <x:c r="A83" s="6" t="n">
        <x:v>70</x:v>
      </x:c>
      <x:c r="B83" s="8">
        <x:f>$B$4*2^INT((A83-1)/$B$7)</x:f>
        <x:v>16</x:v>
      </x:c>
      <x:c r="C83" s="8">
        <x:f>SUM($B$14:B83)</x:f>
        <x:v>317.5</x:v>
      </x:c>
      <x:c r="D83" s="8">
        <x:f>$B$5-C83</x:f>
        <x:v>-217.5</x:v>
      </x:c>
      <x:c r="E83" s="9">
        <x:f>($F$5/100)^A83</x:f>
        <x:v>0.000012044159174104375</x:v>
      </x:c>
      <x:c r="F83" s="8">
        <x:f>B83*$B$6</x:f>
        <x:v>239.04</x:v>
      </x:c>
    </x:row>
    <x:row r="84">
      <x:c r="A84" s="6" t="n">
        <x:v>71</x:v>
      </x:c>
      <x:c r="B84" s="8">
        <x:f>$B$4*2^INT((A84-1)/$B$7)</x:f>
        <x:v>32</x:v>
      </x:c>
      <x:c r="C84" s="8">
        <x:f>SUM($B$14:B84)</x:f>
        <x:v>349.5</x:v>
      </x:c>
      <x:c r="D84" s="8">
        <x:f>$B$5-C84</x:f>
        <x:v>-249.5</x:v>
      </x:c>
      <x:c r="E84" s="9">
        <x:f>($F$5/100)^A84</x:f>
        <x:v>0.000010244761793493181</x:v>
      </x:c>
      <x:c r="F84" s="8">
        <x:f>B84*$B$6</x:f>
        <x:v>478.08</x:v>
      </x:c>
    </x:row>
    <x:row r="85">
      <x:c r="A85" s="6" t="n">
        <x:v>72</x:v>
      </x:c>
      <x:c r="B85" s="8">
        <x:f>$B$4*2^INT((A85-1)/$B$7)</x:f>
        <x:v>32</x:v>
      </x:c>
      <x:c r="C85" s="8">
        <x:f>SUM($B$14:B85)</x:f>
        <x:v>381.5</x:v>
      </x:c>
      <x:c r="D85" s="8">
        <x:f>$B$5-C85</x:f>
        <x:v>-281.5</x:v>
      </x:c>
      <x:c r="E85" s="9">
        <x:f>($F$5/100)^A85</x:f>
        <x:v>0.0000087141943815453</x:v>
      </x:c>
      <x:c r="F85" s="8">
        <x:f>B85*$B$6</x:f>
        <x:v>478.08</x:v>
      </x:c>
    </x:row>
    <x:row r="86">
      <x:c r="A86" s="6" t="n">
        <x:v>73</x:v>
      </x:c>
      <x:c r="B86" s="8">
        <x:f>$B$4*2^INT((A86-1)/$B$7)</x:f>
        <x:v>32</x:v>
      </x:c>
      <x:c r="C86" s="8">
        <x:f>SUM($B$14:B86)</x:f>
        <x:v>413.5</x:v>
      </x:c>
      <x:c r="D86" s="8">
        <x:f>$B$5-C86</x:f>
        <x:v>-313.5</x:v>
      </x:c>
      <x:c r="E86" s="9">
        <x:f>($F$5/100)^A86</x:f>
        <x:v>0.0000074122937409424325</x:v>
      </x:c>
      <x:c r="F86" s="8">
        <x:f>B86*$B$6</x:f>
        <x:v>478.08</x:v>
      </x:c>
    </x:row>
    <x:row r="87">
      <x:c r="A87" s="6" t="n">
        <x:v>74</x:v>
      </x:c>
      <x:c r="B87" s="8">
        <x:f>$B$4*2^INT((A87-1)/$B$7)</x:f>
        <x:v>32</x:v>
      </x:c>
      <x:c r="C87" s="8">
        <x:f>SUM($B$14:B87)</x:f>
        <x:v>445.5</x:v>
      </x:c>
      <x:c r="D87" s="8">
        <x:f>$B$5-C87</x:f>
        <x:v>-345.5</x:v>
      </x:c>
      <x:c r="E87" s="9">
        <x:f>($F$5/100)^A87</x:f>
        <x:v>0.000006304897056045634</x:v>
      </x:c>
      <x:c r="F87" s="8">
        <x:f>B87*$B$6</x:f>
        <x:v>478.08</x:v>
      </x:c>
    </x:row>
    <x:row r="88">
      <x:c r="A88" s="6" t="n">
        <x:v>75</x:v>
      </x:c>
      <x:c r="B88" s="8">
        <x:f>$B$4*2^INT((A88-1)/$B$7)</x:f>
        <x:v>32</x:v>
      </x:c>
      <x:c r="C88" s="8">
        <x:f>SUM($B$14:B88)</x:f>
        <x:v>477.5</x:v>
      </x:c>
      <x:c r="D88" s="8">
        <x:f>$B$5-C88</x:f>
        <x:v>-377.5</x:v>
      </x:c>
      <x:c r="E88" s="9">
        <x:f>($F$5/100)^A88</x:f>
        <x:v>0.000005362945435872416</x:v>
      </x:c>
      <x:c r="F88" s="8">
        <x:f>B88*$B$6</x:f>
        <x:v>478.08</x:v>
      </x:c>
    </x:row>
    <x:row r="89">
      <x:c r="A89" s="6" t="n">
        <x:v>76</x:v>
      </x:c>
      <x:c r="B89" s="8">
        <x:f>$B$4*2^INT((A89-1)/$B$7)</x:f>
        <x:v>32</x:v>
      </x:c>
      <x:c r="C89" s="8">
        <x:f>SUM($B$14:B89)</x:f>
        <x:v>509.5</x:v>
      </x:c>
      <x:c r="D89" s="8">
        <x:f>$B$5-C89</x:f>
        <x:v>-409.5</x:v>
      </x:c>
      <x:c r="E89" s="9">
        <x:f>($F$5/100)^A89</x:f>
        <x:v>0.000004561721387753077</x:v>
      </x:c>
      <x:c r="F89" s="8">
        <x:f>B89*$B$6</x:f>
        <x:v>478.08</x:v>
      </x:c>
    </x:row>
    <x:row r="90">
      <x:c r="A90" s="6" t="n">
        <x:v>77</x:v>
      </x:c>
      <x:c r="B90" s="8">
        <x:f>$B$4*2^INT((A90-1)/$B$7)</x:f>
        <x:v>32</x:v>
      </x:c>
      <x:c r="C90" s="8">
        <x:f>SUM($B$14:B90)</x:f>
        <x:v>541.5</x:v>
      </x:c>
      <x:c r="D90" s="8">
        <x:f>$B$5-C90</x:f>
        <x:v>-441.5</x:v>
      </x:c>
      <x:c r="E90" s="9">
        <x:f>($F$5/100)^A90</x:f>
        <x:v>0.000003880200212422768</x:v>
      </x:c>
      <x:c r="F90" s="8">
        <x:f>B90*$B$6</x:f>
        <x:v>478.08</x:v>
      </x:c>
    </x:row>
    <x:row r="91">
      <x:c r="A91" s="6" t="n">
        <x:v>78</x:v>
      </x:c>
      <x:c r="B91" s="8">
        <x:f>$B$4*2^INT((A91-1)/$B$7)</x:f>
        <x:v>32</x:v>
      </x:c>
      <x:c r="C91" s="8">
        <x:f>SUM($B$14:B91)</x:f>
        <x:v>573.5</x:v>
      </x:c>
      <x:c r="D91" s="8">
        <x:f>$B$5-C91</x:f>
        <x:v>-473.5</x:v>
      </x:c>
      <x:c r="E91" s="9">
        <x:f>($F$5/100)^A91</x:f>
        <x:v>0.0000033004983006868067</x:v>
      </x:c>
      <x:c r="F91" s="8">
        <x:f>B91*$B$6</x:f>
        <x:v>478.08</x:v>
      </x:c>
    </x:row>
    <x:row r="92">
      <x:c r="A92" s="6" t="n">
        <x:v>79</x:v>
      </x:c>
      <x:c r="B92" s="8">
        <x:f>$B$4*2^INT((A92-1)/$B$7)</x:f>
        <x:v>32</x:v>
      </x:c>
      <x:c r="C92" s="8">
        <x:f>SUM($B$14:B92)</x:f>
        <x:v>605.5</x:v>
      </x:c>
      <x:c r="D92" s="8">
        <x:f>$B$5-C92</x:f>
        <x:v>-505.5</x:v>
      </x:c>
      <x:c r="E92" s="9">
        <x:f>($F$5/100)^A92</x:f>
        <x:v>0.000002807403854564198</x:v>
      </x:c>
      <x:c r="F92" s="8">
        <x:f>B92*$B$6</x:f>
        <x:v>478.08</x:v>
      </x:c>
    </x:row>
    <x:row r="93">
      <x:c r="A93" s="6" t="n">
        <x:v>80</x:v>
      </x:c>
      <x:c r="B93" s="8">
        <x:f>$B$4*2^INT((A93-1)/$B$7)</x:f>
        <x:v>32</x:v>
      </x:c>
      <x:c r="C93" s="8">
        <x:f>SUM($B$14:B93)</x:f>
        <x:v>637.5</x:v>
      </x:c>
      <x:c r="D93" s="8">
        <x:f>$B$5-C93</x:f>
        <x:v>-537.5</x:v>
      </x:c>
      <x:c r="E93" s="9">
        <x:f>($F$5/100)^A93</x:f>
        <x:v>0.0000023879777186923064</x:v>
      </x:c>
      <x:c r="F93" s="8">
        <x:f>B93*$B$6</x:f>
        <x:v>478.08</x:v>
      </x:c>
    </x:row>
    <x:row r="94">
      <x:c r="A94" s="6" t="n">
        <x:v>81</x:v>
      </x:c>
      <x:c r="B94" s="8">
        <x:f>$B$4*2^INT((A94-1)/$B$7)</x:f>
        <x:v>64</x:v>
      </x:c>
      <x:c r="C94" s="8">
        <x:f>SUM($B$14:B94)</x:f>
        <x:v>701.5</x:v>
      </x:c>
      <x:c r="D94" s="8">
        <x:f>$B$5-C94</x:f>
        <x:v>-601.5</x:v>
      </x:c>
      <x:c r="E94" s="9">
        <x:f>($F$5/100)^A94</x:f>
        <x:v>0.000002031213847519676</x:v>
      </x:c>
      <x:c r="F94" s="8">
        <x:f>B94*$B$6</x:f>
        <x:v>956.16</x:v>
      </x:c>
    </x:row>
    <x:row r="95">
      <x:c r="A95" s="6" t="n">
        <x:v>82</x:v>
      </x:c>
      <x:c r="B95" s="8">
        <x:f>$B$4*2^INT((A95-1)/$B$7)</x:f>
        <x:v>64</x:v>
      </x:c>
      <x:c r="C95" s="8">
        <x:f>SUM($B$14:B95)</x:f>
        <x:v>765.5</x:v>
      </x:c>
      <x:c r="D95" s="8">
        <x:f>$B$5-C95</x:f>
        <x:v>-665.5</x:v>
      </x:c>
      <x:c r="E95" s="9">
        <x:f>($F$5/100)^A95</x:f>
        <x:v>0.0000017277504987002364</x:v>
      </x:c>
      <x:c r="F95" s="8">
        <x:f>B95*$B$6</x:f>
        <x:v>956.16</x:v>
      </x:c>
    </x:row>
    <x:row r="96">
      <x:c r="A96" s="6" t="n">
        <x:v>83</x:v>
      </x:c>
      <x:c r="B96" s="8">
        <x:f>$B$4*2^INT((A96-1)/$B$7)</x:f>
        <x:v>64</x:v>
      </x:c>
      <x:c r="C96" s="8">
        <x:f>SUM($B$14:B96)</x:f>
        <x:v>829.5</x:v>
      </x:c>
      <x:c r="D96" s="8">
        <x:f>$B$5-C96</x:f>
        <x:v>-729.5</x:v>
      </x:c>
      <x:c r="E96" s="9">
        <x:f>($F$5/100)^A96</x:f>
        <x:v>0.0000014696245741944212</x:v>
      </x:c>
      <x:c r="F96" s="8">
        <x:f>B96*$B$6</x:f>
        <x:v>956.16</x:v>
      </x:c>
    </x:row>
    <x:row r="97">
      <x:c r="A97" s="6" t="n">
        <x:v>84</x:v>
      </x:c>
      <x:c r="B97" s="8">
        <x:f>$B$4*2^INT((A97-1)/$B$7)</x:f>
        <x:v>64</x:v>
      </x:c>
      <x:c r="C97" s="8">
        <x:f>SUM($B$14:B97)</x:f>
        <x:v>893.5</x:v>
      </x:c>
      <x:c r="D97" s="8">
        <x:f>$B$5-C97</x:f>
        <x:v>-793.5</x:v>
      </x:c>
      <x:c r="E97" s="9">
        <x:f>($F$5/100)^A97</x:f>
        <x:v>0.0000012500626628097747</x:v>
      </x:c>
      <x:c r="F97" s="8">
        <x:f>B97*$B$6</x:f>
        <x:v>956.16</x:v>
      </x:c>
    </x:row>
    <x:row r="98">
      <x:c r="A98" s="6" t="n">
        <x:v>85</x:v>
      </x:c>
      <x:c r="B98" s="8">
        <x:f>$B$4*2^INT((A98-1)/$B$7)</x:f>
        <x:v>64</x:v>
      </x:c>
      <x:c r="C98" s="8">
        <x:f>SUM($B$14:B98)</x:f>
        <x:v>957.5</x:v>
      </x:c>
      <x:c r="D98" s="8">
        <x:f>$B$5-C98</x:f>
        <x:v>-857.5</x:v>
      </x:c>
      <x:c r="E98" s="9">
        <x:f>($F$5/100)^A98</x:f>
        <x:v>0.0000010633033009859944</x:v>
      </x:c>
      <x:c r="F98" s="8">
        <x:f>B98*$B$6</x:f>
        <x:v>956.16</x:v>
      </x:c>
    </x:row>
    <x:row r="99">
      <x:c r="A99" s="6" t="n">
        <x:v>86</x:v>
      </x:c>
      <x:c r="B99" s="8">
        <x:f>$B$4*2^INT((A99-1)/$B$7)</x:f>
        <x:v>64</x:v>
      </x:c>
      <x:c r="C99" s="8">
        <x:f>SUM($B$14:B99)</x:f>
        <x:v>1021.5</x:v>
      </x:c>
      <x:c r="D99" s="8">
        <x:f>$B$5-C99</x:f>
        <x:v>-921.5</x:v>
      </x:c>
      <x:c r="E99" s="9">
        <x:f>($F$5/100)^A99</x:f>
        <x:v>9.044457878186869e-7</x:v>
      </x:c>
      <x:c r="F99" s="8">
        <x:f>B99*$B$6</x:f>
        <x:v>956.16</x:v>
      </x:c>
    </x:row>
    <x:row r="100">
      <x:c r="A100" s="6" t="n">
        <x:v>87</x:v>
      </x:c>
      <x:c r="B100" s="8">
        <x:f>$B$4*2^INT((A100-1)/$B$7)</x:f>
        <x:v>64</x:v>
      </x:c>
      <x:c r="C100" s="8">
        <x:f>SUM($B$14:B100)</x:f>
        <x:v>1085.5</x:v>
      </x:c>
      <x:c r="D100" s="8">
        <x:f>$B$5-C100</x:f>
        <x:v>-985.5</x:v>
      </x:c>
      <x:c r="E100" s="9">
        <x:f>($F$5/100)^A100</x:f>
        <x:v>7.693215871185751e-7</x:v>
      </x:c>
      <x:c r="F100" s="8">
        <x:f>B100*$B$6</x:f>
        <x:v>956.16</x:v>
      </x:c>
    </x:row>
    <x:row r="101">
      <x:c r="A101" s="6" t="n">
        <x:v>88</x:v>
      </x:c>
      <x:c r="B101" s="8">
        <x:f>$B$4*2^INT((A101-1)/$B$7)</x:f>
        <x:v>64</x:v>
      </x:c>
      <x:c r="C101" s="8">
        <x:f>SUM($B$14:B101)</x:f>
        <x:v>1149.5</x:v>
      </x:c>
      <x:c r="D101" s="8">
        <x:f>$B$5-C101</x:f>
        <x:v>-1049.5</x:v>
      </x:c>
      <x:c r="E101" s="9">
        <x:f>($F$5/100)^A101</x:f>
        <x:v>6.543849420030601e-7</x:v>
      </x:c>
      <x:c r="F101" s="8">
        <x:f>B101*$B$6</x:f>
        <x:v>956.16</x:v>
      </x:c>
    </x:row>
    <x:row r="102">
      <x:c r="A102" s="6" t="n">
        <x:v>89</x:v>
      </x:c>
      <x:c r="B102" s="8">
        <x:f>$B$4*2^INT((A102-1)/$B$7)</x:f>
        <x:v>64</x:v>
      </x:c>
      <x:c r="C102" s="8">
        <x:f>SUM($B$14:B102)</x:f>
        <x:v>1213.5</x:v>
      </x:c>
      <x:c r="D102" s="8">
        <x:f>$B$5-C102</x:f>
        <x:v>-1113.5</x:v>
      </x:c>
      <x:c r="E102" s="9">
        <x:f>($F$5/100)^A102</x:f>
        <x:v>5.566198316678029e-7</x:v>
      </x:c>
      <x:c r="F102" s="8">
        <x:f>B102*$B$6</x:f>
        <x:v>956.16</x:v>
      </x:c>
    </x:row>
    <x:row r="103">
      <x:c r="A103" s="6" t="n">
        <x:v>90</x:v>
      </x:c>
      <x:c r="B103" s="8">
        <x:f>$B$4*2^INT((A103-1)/$B$7)</x:f>
        <x:v>64</x:v>
      </x:c>
      <x:c r="C103" s="8">
        <x:f>SUM($B$14:B103)</x:f>
        <x:v>1277.5</x:v>
      </x:c>
      <x:c r="D103" s="8">
        <x:f>$B$5-C103</x:f>
        <x:v>-1177.5</x:v>
      </x:c>
      <x:c r="E103" s="9">
        <x:f>($F$5/100)^A103</x:f>
        <x:v>4.734608288166332e-7</x:v>
      </x:c>
      <x:c r="F103" s="8">
        <x:f>B103*$B$6</x:f>
        <x:v>956.16</x:v>
      </x:c>
    </x:row>
    <x:row r="104">
      <x:c r="A104" s="6" t="n">
        <x:v>91</x:v>
      </x:c>
      <x:c r="B104" s="8">
        <x:f>$B$4*2^INT((A104-1)/$B$7)</x:f>
        <x:v>128</x:v>
      </x:c>
      <x:c r="C104" s="8">
        <x:f>SUM($B$14:B104)</x:f>
        <x:v>1405.5</x:v>
      </x:c>
      <x:c r="D104" s="8">
        <x:f>$B$5-C104</x:f>
        <x:v>-1305.5</x:v>
      </x:c>
      <x:c r="E104" s="9">
        <x:f>($F$5/100)^A104</x:f>
        <x:v>4.0272578099142813e-7</x:v>
      </x:c>
      <x:c r="F104" s="8">
        <x:f>B104*$B$6</x:f>
        <x:v>1912.32</x:v>
      </x:c>
    </x:row>
    <x:row r="105">
      <x:c r="A105" s="6" t="n">
        <x:v>92</x:v>
      </x:c>
      <x:c r="B105" s="8">
        <x:f>$B$4*2^INT((A105-1)/$B$7)</x:f>
        <x:v>128</x:v>
      </x:c>
      <x:c r="C105" s="8">
        <x:f>SUM($B$14:B105)</x:f>
        <x:v>1533.5</x:v>
      </x:c>
      <x:c r="D105" s="8">
        <x:f>$B$5-C105</x:f>
        <x:v>-1433.5</x:v>
      </x:c>
      <x:c r="E105" s="9">
        <x:f>($F$5/100)^A105</x:f>
        <x:v>3.425585493113088e-7</x:v>
      </x:c>
      <x:c r="F105" s="8">
        <x:f>B105*$B$6</x:f>
        <x:v>1912.32</x:v>
      </x:c>
    </x:row>
    <x:row r="106">
      <x:c r="A106" s="6" t="n">
        <x:v>93</x:v>
      </x:c>
      <x:c r="B106" s="8">
        <x:f>$B$4*2^INT((A106-1)/$B$7)</x:f>
        <x:v>128</x:v>
      </x:c>
      <x:c r="C106" s="8">
        <x:f>SUM($B$14:B106)</x:f>
        <x:v>1661.5</x:v>
      </x:c>
      <x:c r="D106" s="8">
        <x:f>$B$5-C106</x:f>
        <x:v>-1561.5</x:v>
      </x:c>
      <x:c r="E106" s="9">
        <x:f>($F$5/100)^A106</x:f>
        <x:v>2.913803020441993e-7</x:v>
      </x:c>
      <x:c r="F106" s="8">
        <x:f>B106*$B$6</x:f>
        <x:v>1912.32</x:v>
      </x:c>
    </x:row>
    <x:row r="107">
      <x:c r="A107" s="6" t="n">
        <x:v>94</x:v>
      </x:c>
      <x:c r="B107" s="8">
        <x:f>$B$4*2^INT((A107-1)/$B$7)</x:f>
        <x:v>128</x:v>
      </x:c>
      <x:c r="C107" s="8">
        <x:f>SUM($B$14:B107)</x:f>
        <x:v>1789.5</x:v>
      </x:c>
      <x:c r="D107" s="8">
        <x:f>$B$5-C107</x:f>
        <x:v>-1689.5</x:v>
      </x:c>
      <x:c r="E107" s="9">
        <x:f>($F$5/100)^A107</x:f>
        <x:v>2.47848084918796e-7</x:v>
      </x:c>
      <x:c r="F107" s="8">
        <x:f>B107*$B$6</x:f>
        <x:v>1912.32</x:v>
      </x:c>
    </x:row>
    <x:row r="108">
      <x:c r="A108" s="6" t="n">
        <x:v>95</x:v>
      </x:c>
      <x:c r="B108" s="8">
        <x:f>$B$4*2^INT((A108-1)/$B$7)</x:f>
        <x:v>128</x:v>
      </x:c>
      <x:c r="C108" s="8">
        <x:f>SUM($B$14:B108)</x:f>
        <x:v>1917.5</x:v>
      </x:c>
      <x:c r="D108" s="8">
        <x:f>$B$5-C108</x:f>
        <x:v>-1817.5</x:v>
      </x:c>
      <x:c r="E108" s="9">
        <x:f>($F$5/100)^A108</x:f>
        <x:v>2.1081958103192784e-7</x:v>
      </x:c>
      <x:c r="F108" s="8">
        <x:f>B108*$B$6</x:f>
        <x:v>1912.32</x:v>
      </x:c>
    </x:row>
    <x:row r="109">
      <x:c r="A109" s="6" t="n">
        <x:v>96</x:v>
      </x:c>
      <x:c r="B109" s="8">
        <x:f>$B$4*2^INT((A109-1)/$B$7)</x:f>
        <x:v>128</x:v>
      </x:c>
      <x:c r="C109" s="8">
        <x:f>SUM($B$14:B109)</x:f>
        <x:v>2045.5</x:v>
      </x:c>
      <x:c r="D109" s="8">
        <x:f>$B$5-C109</x:f>
        <x:v>-1945.5</x:v>
      </x:c>
      <x:c r="E109" s="9">
        <x:f>($F$5/100)^A109</x:f>
        <x:v>1.793231356257578e-7</x:v>
      </x:c>
      <x:c r="F109" s="8">
        <x:f>B109*$B$6</x:f>
        <x:v>1912.32</x:v>
      </x:c>
    </x:row>
    <x:row r="110">
      <x:c r="A110" s="6" t="n">
        <x:v>97</x:v>
      </x:c>
      <x:c r="B110" s="8">
        <x:f>$B$4*2^INT((A110-1)/$B$7)</x:f>
        <x:v>128</x:v>
      </x:c>
      <x:c r="C110" s="8">
        <x:f>SUM($B$14:B110)</x:f>
        <x:v>2173.5</x:v>
      </x:c>
      <x:c r="D110" s="8">
        <x:f>$B$5-C110</x:f>
        <x:v>-2073.5</x:v>
      </x:c>
      <x:c r="E110" s="9">
        <x:f>($F$5/100)^A110</x:f>
        <x:v>1.525322591632696e-7</x:v>
      </x:c>
      <x:c r="F110" s="8">
        <x:f>B110*$B$6</x:f>
        <x:v>1912.32</x:v>
      </x:c>
    </x:row>
    <x:row r="111">
      <x:c r="A111" s="6" t="n">
        <x:v>98</x:v>
      </x:c>
      <x:c r="B111" s="8">
        <x:f>$B$4*2^INT((A111-1)/$B$7)</x:f>
        <x:v>128</x:v>
      </x:c>
      <x:c r="C111" s="8">
        <x:f>SUM($B$14:B111)</x:f>
        <x:v>2301.5</x:v>
      </x:c>
      <x:c r="D111" s="8">
        <x:f>$B$5-C111</x:f>
        <x:v>-2201.5</x:v>
      </x:c>
      <x:c r="E111" s="9">
        <x:f>($F$5/100)^A111</x:f>
        <x:v>1.2974393964427713e-7</x:v>
      </x:c>
      <x:c r="F111" s="8">
        <x:f>B111*$B$6</x:f>
        <x:v>1912.32</x:v>
      </x:c>
    </x:row>
    <x:row r="112">
      <x:c r="A112" s="6" t="n">
        <x:v>99</x:v>
      </x:c>
      <x:c r="B112" s="8">
        <x:f>$B$4*2^INT((A112-1)/$B$7)</x:f>
        <x:v>128</x:v>
      </x:c>
      <x:c r="C112" s="8">
        <x:f>SUM($B$14:B112)</x:f>
        <x:v>2429.5</x:v>
      </x:c>
      <x:c r="D112" s="8">
        <x:f>$B$5-C112</x:f>
        <x:v>-2329.5</x:v>
      </x:c>
      <x:c r="E112" s="9">
        <x:f>($F$5/100)^A112</x:f>
        <x:v>1.1036019506142213e-7</x:v>
      </x:c>
      <x:c r="F112" s="8">
        <x:f>B112*$B$6</x:f>
        <x:v>1912.32</x:v>
      </x:c>
    </x:row>
    <x:row r="113">
      <x:c r="A113" s="6" t="n">
        <x:v>100</x:v>
      </x:c>
      <x:c r="B113" s="8">
        <x:f>$B$4*2^INT((A113-1)/$B$7)</x:f>
        <x:v>128</x:v>
      </x:c>
      <x:c r="C113" s="8">
        <x:f>SUM($B$14:B113)</x:f>
        <x:v>2557.5</x:v>
      </x:c>
      <x:c r="D113" s="8">
        <x:f>$B$5-C113</x:f>
        <x:v>-2457.5</x:v>
      </x:c>
      <x:c r="E113" s="9">
        <x:f>($F$5/100)^A113</x:f>
        <x:v>9.387238191924567e-8</x:v>
      </x:c>
      <x:c r="F113" s="8">
        <x:f>B113*$B$6</x:f>
        <x:v>1912.32</x:v>
      </x:c>
    </x:row>
  </x:sheetData>
  <x:mergeCells>
    <x:mergeCell ref="D3:E3"/>
    <x:mergeCell ref="D4:E4"/>
    <x:mergeCell ref="D5:E5"/>
  </x:mergeCells>
  <x:pageMargins left="0.7" right="0.7" top="0.75" bottom="0.75" header="0.3" footer="0.3"/>
</x:worksheet>
</file>