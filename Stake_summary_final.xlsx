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<sst xmlns="http://schemas.openxmlformats.org/spreadsheetml/2006/main" count="26" uniqueCount="26">
  <si>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Stake Calculations</t>
  </si>
  <si>
    <t xml:space="preserve">Variables</t>
  </si>
  <si>
    <t xml:space="preserve">Calculated Values</t>
  </si>
  <si>
    <t xml:space="preserve">Summary</t>
  </si>
  <si>
    <t xml:space="preserve">Starting Bet</t>
  </si>
  <si>
    <t xml:space="preserve">Single Turn Win %</t>
  </si>
  <si>
    <t xml:space="preserve"># of turns to lose entire bankroll:</t>
  </si>
  <si>
    <t xml:space="preserve">Starting Bankroll</t>
  </si>
  <si>
    <t xml:space="preserve">Single Turn Lose %</t>
  </si>
  <si>
    <t xml:space="preserve">% chance of losing bankroll</t>
  </si>
  <si>
    <t xml:space="preserve">Target Multiplier</t>
  </si>
  <si>
    <t xml:space="preserve">% chance of losing bankroll in 100 turns</t>
  </si>
  <si>
    <t xml:space="preserve">Turns Before Doubling</t>
  </si>
  <si>
    <t xml:space="preserve">% chance of losing bankroll in 200 turns</t>
  </si>
  <si>
    <t xml:space="preserve">% chance of losing bankroll in 300 turns</t>
  </si>
  <si>
    <t xml:space="preserve">% chance of losing bankroll in 500 turns</t>
  </si>
  <si>
    <t xml:space="preserve">Turn Simulation</t>
  </si>
  <si>
    <t xml:space="preserve">% chance of losing bankroll in 1000 turns</t>
  </si>
  <si>
    <t xml:space="preserve">Turn</t>
  </si>
  <si>
    <t xml:space="preserve">Current Bet</t>
  </si>
  <si>
    <t xml:space="preserve">Cumulative Bet</t>
  </si>
  <si>
    <t xml:space="preserve">Bankroll</t>
  </si>
  <si>
    <t xml:space="preserve">% Chance</t>
  </si>
  <si>
    <t xml:space="preserve">Profit On Win</t>
  </si>
  <si>
    <t xml:space="preserve"># of turns to have &lt;10% chance of losing bankroll</t>
  </si>
  <si>
    <t xml:space="preserve"># of turns to have &lt;1% chance of losing bankroll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</si>
</sst>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\$0.00"/>
    <numFmt numFmtId="168" formatCode="0.00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"/>
        <bgColor rgb="FF99CC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1.14"/>
    <col collapsed="false" customWidth="true" hidden="false" outlineLevel="0" max="3" min="3" style="1" width="14.71"/>
    <col collapsed="false" customWidth="true" hidden="false" outlineLevel="0" max="4" min="4" style="1" width="9.29"/>
    <col collapsed="false" customWidth="true" hidden="false" outlineLevel="0" max="5" min="5" style="1" width="9.42"/>
    <col collapsed="false" customWidth="true" hidden="false" outlineLevel="0" max="6" min="6" style="1" width="13.15"/>
    <col collapsed="false" customWidth="true" hidden="false" outlineLevel="0" max="7" min="7" style="1" width="17.71"/>
    <col collapsed="false" customWidth="true" hidden="false" outlineLevel="0" max="8" min="8" style="1" width="43.71"/>
    <col collapsed="false" customWidth="true" hidden="false" outlineLevel="0" max="9" min="9" style="1" width="29.86"/>
  </cols>
  <sheetData>
    <row r="1" customFormat="false" ht="15" hidden="false" customHeight="tru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3"/>
      <c r="D3" s="2" t="s">
        <v>2</v>
      </c>
      <c r="E3" s="2"/>
      <c r="F3" s="3"/>
      <c r="H3" s="3" t="s">
        <v>3</v>
      </c>
      <c r="I3" s="3"/>
    </row>
    <row r="4" customFormat="false" ht="15" hidden="false" customHeight="true" outlineLevel="0" collapsed="false">
      <c r="A4" s="4" t="s">
        <v>4</v>
      </c>
      <c r="B4" s="4" t="n">
        <v>0.25</v>
      </c>
      <c r="D4" s="4" t="s">
        <v>5</v>
      </c>
      <c r="E4" s="4"/>
      <c r="F4" s="4" t="n">
        <f aca="false">100 - F5</f>
        <v>14.94</v>
      </c>
      <c r="H4" s="4" t="s">
        <v>6</v>
      </c>
      <c r="I4" s="5" t="n">
        <f aca="false">IF(COUNTIF($D$12:$D$111,"&lt;=0")=0,"Not within 100 turns",COUNTIF($D$12:$D$111,"&gt;0")+1)</f>
        <v>53</v>
      </c>
    </row>
    <row r="5" customFormat="false" ht="15" hidden="false" customHeight="true" outlineLevel="0" collapsed="false">
      <c r="A5" s="4" t="s">
        <v>7</v>
      </c>
      <c r="B5" s="4" t="n">
        <v>100</v>
      </c>
      <c r="D5" s="4" t="s">
        <v>8</v>
      </c>
      <c r="E5" s="4"/>
      <c r="F5" s="4" t="n">
        <f aca="false">(100-B6)</f>
        <v>85.06</v>
      </c>
      <c r="H5" s="4" t="s">
        <v>9</v>
      </c>
      <c r="I5" s="6" t="n">
        <f aca="false">IF(ISNUMBER(I4),($F$5/100)^I4,"")</f>
        <v>0.000188558039498772</v>
      </c>
    </row>
    <row r="6" customFormat="false" ht="15" hidden="false" customHeight="true" outlineLevel="0" collapsed="false">
      <c r="A6" s="4" t="s">
        <v>10</v>
      </c>
      <c r="B6" s="4" t="n">
        <v>14.94</v>
      </c>
      <c r="D6" s="4"/>
      <c r="E6" s="4"/>
      <c r="F6" s="4"/>
      <c r="H6" s="4" t="s">
        <v>11</v>
      </c>
      <c r="I6" s="6" t="n">
        <f aca="false">IF(OR(NOT(ISNUMBER($I$4)),100&lt;$I$4),0,1-(1-$I$5)^(100-$I$4+1))</f>
        <v>0.00901079653962988</v>
      </c>
    </row>
    <row r="7" customFormat="false" ht="15" hidden="false" customHeight="true" outlineLevel="0" collapsed="false">
      <c r="A7" s="4" t="s">
        <v>12</v>
      </c>
      <c r="B7" s="4" t="n">
        <v>10</v>
      </c>
      <c r="H7" s="4" t="s">
        <v>13</v>
      </c>
      <c r="I7" s="6" t="n">
        <f aca="false">IF(OR(NOT(ISNUMBER($I$4)),200&lt;$I$4),0,1-(1-$I$5)^(200-$I$4+1))</f>
        <v>0.0275233569259516</v>
      </c>
    </row>
    <row r="8" customFormat="false" ht="15" hidden="false" customHeight="true" outlineLevel="0" collapsed="false">
      <c r="H8" s="4" t="s">
        <v>14</v>
      </c>
      <c r="I8" s="6" t="n">
        <f aca="false">IF(OR(NOT(ISNUMBER($I$4)),300&lt;$I$4),0,1-(1-$I$5)^(300-$I$4+1))</f>
        <v>0.0456900862064849</v>
      </c>
    </row>
    <row r="9" customFormat="false" ht="15" hidden="false" customHeight="true" outlineLevel="0" collapsed="false">
      <c r="H9" s="4" t="s">
        <v>15</v>
      </c>
      <c r="I9" s="6" t="n">
        <f aca="false">IF(OR(NOT(ISNUMBER($I$4)),500&lt;$I$4),0,1-(1-$I$5)^(500-$I$4+1))</f>
        <v>0.0810117724950514</v>
      </c>
    </row>
    <row r="10" customFormat="false" ht="15" hidden="false" customHeight="true" outlineLevel="0" collapsed="false">
      <c r="A10" s="1" t="s">
        <v>16</v>
      </c>
      <c r="H10" s="4" t="s">
        <v>17</v>
      </c>
      <c r="I10" s="6" t="n">
        <f aca="false">IF(OR(NOT(ISNUMBER($I$4)),1000&lt;$I$4),0,1-(1-$I$5)^(1000-$I$4+1))</f>
        <v>0.16370167061514</v>
      </c>
    </row>
    <row r="11" customFormat="false" ht="15" hidden="false" customHeight="true" outlineLevel="0" collapsed="false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H11" s="7" t="s">
        <v>24</v>
      </c>
      <c r="I11" s="8" t="n">
        <f aca="false">IF(OR(NOT(ISNUMBER($I$4)),$I$5&lt;=0),"",MAX($I$4-1,INT(LN(1-10%)/LN(1-$I$5)+$I$4-1)))</f>
        <v>610</v>
      </c>
    </row>
    <row r="12" customFormat="false" ht="15" hidden="false" customHeight="true" outlineLevel="0" collapsed="false">
      <c r="A12" s="4" t="n">
        <v>1</v>
      </c>
      <c r="B12" s="9" t="n">
        <f aca="false">$B$4*2^INT((A12-1)/$B$7)</f>
        <v>0.25</v>
      </c>
      <c r="C12" s="9" t="n">
        <f aca="false">SUM($B$12:B12)</f>
        <v>0.25</v>
      </c>
      <c r="D12" s="9" t="n">
        <f aca="false">$B$5-C12</f>
        <v>99.75</v>
      </c>
      <c r="E12" s="10" t="n">
        <f aca="false">($F$5/100)^A12</f>
        <v>0.8506</v>
      </c>
      <c r="F12" s="9" t="n">
        <f aca="false">B12*$B$6</f>
        <v>3.735</v>
      </c>
      <c r="H12" s="7" t="s">
        <v>25</v>
      </c>
      <c r="I12" s="8" t="n">
        <f aca="false">IF(OR(NOT(ISNUMBER($I$4)),$I$5&lt;=0),"",MAX($I$4-1,INT(LN(1-1%)/LN(1-$I$5)+$I$4-1)))</f>
        <v>105</v>
      </c>
    </row>
    <row r="13" customFormat="false" ht="15" hidden="false" customHeight="true" outlineLevel="0" collapsed="false">
      <c r="A13" s="4" t="n">
        <v>2</v>
      </c>
      <c r="B13" s="9" t="n">
        <f aca="false">$B$4*2^INT((A13-1)/$B$7)</f>
        <v>0.25</v>
      </c>
      <c r="C13" s="9" t="n">
        <f aca="false">SUM($B$12:B13)</f>
        <v>0.5</v>
      </c>
      <c r="D13" s="9" t="n">
        <f aca="false">$B$5-C13</f>
        <v>99.5</v>
      </c>
      <c r="E13" s="10" t="n">
        <f aca="false">($F$5/100)^A13</f>
        <v>0.72352036</v>
      </c>
      <c r="F13" s="9" t="n">
        <f aca="false">B13*$B$6</f>
        <v>3.735</v>
      </c>
    </row>
    <row r="14" customFormat="false" ht="15" hidden="false" customHeight="true" outlineLevel="0" collapsed="false">
      <c r="A14" s="4" t="n">
        <v>3</v>
      </c>
      <c r="B14" s="9" t="n">
        <f aca="false">$B$4*2^INT((A14-1)/$B$7)</f>
        <v>0.25</v>
      </c>
      <c r="C14" s="9" t="n">
        <f aca="false">SUM($B$12:B14)</f>
        <v>0.75</v>
      </c>
      <c r="D14" s="9" t="n">
        <f aca="false">$B$5-C14</f>
        <v>99.25</v>
      </c>
      <c r="E14" s="10" t="n">
        <f aca="false">($F$5/100)^A14</f>
        <v>0.615426418216</v>
      </c>
      <c r="F14" s="9" t="n">
        <f aca="false">B14*$B$6</f>
        <v>3.735</v>
      </c>
    </row>
    <row r="15" customFormat="false" ht="15" hidden="false" customHeight="true" outlineLevel="0" collapsed="false">
      <c r="A15" s="4" t="n">
        <v>4</v>
      </c>
      <c r="B15" s="9" t="n">
        <f aca="false">$B$4*2^INT((A15-1)/$B$7)</f>
        <v>0.25</v>
      </c>
      <c r="C15" s="9" t="n">
        <f aca="false">SUM($B$12:B15)</f>
        <v>1</v>
      </c>
      <c r="D15" s="9" t="n">
        <f aca="false">$B$5-C15</f>
        <v>99</v>
      </c>
      <c r="E15" s="10" t="n">
        <f aca="false">($F$5/100)^A15</f>
        <v>0.52348171133453</v>
      </c>
      <c r="F15" s="9" t="n">
        <f aca="false">B15*$B$6</f>
        <v>3.735</v>
      </c>
    </row>
    <row r="16" customFormat="false" ht="15" hidden="false" customHeight="true" outlineLevel="0" collapsed="false">
      <c r="A16" s="4" t="n">
        <v>5</v>
      </c>
      <c r="B16" s="9" t="n">
        <f aca="false">$B$4*2^INT((A16-1)/$B$7)</f>
        <v>0.25</v>
      </c>
      <c r="C16" s="9" t="n">
        <f aca="false">SUM($B$12:B16)</f>
        <v>1.25</v>
      </c>
      <c r="D16" s="9" t="n">
        <f aca="false">$B$5-C16</f>
        <v>98.75</v>
      </c>
      <c r="E16" s="10" t="n">
        <f aca="false">($F$5/100)^A16</f>
        <v>0.445273543661151</v>
      </c>
      <c r="F16" s="9" t="n">
        <f aca="false">B16*$B$6</f>
        <v>3.735</v>
      </c>
    </row>
    <row r="17" customFormat="false" ht="15" hidden="false" customHeight="true" outlineLevel="0" collapsed="false">
      <c r="A17" s="4" t="n">
        <v>6</v>
      </c>
      <c r="B17" s="9" t="n">
        <f aca="false">$B$4*2^INT((A17-1)/$B$7)</f>
        <v>0.25</v>
      </c>
      <c r="C17" s="9" t="n">
        <f aca="false">SUM($B$12:B17)</f>
        <v>1.5</v>
      </c>
      <c r="D17" s="9" t="n">
        <f aca="false">$B$5-C17</f>
        <v>98.5</v>
      </c>
      <c r="E17" s="10" t="n">
        <f aca="false">($F$5/100)^A17</f>
        <v>0.378749676238175</v>
      </c>
      <c r="F17" s="9" t="n">
        <f aca="false">B17*$B$6</f>
        <v>3.735</v>
      </c>
    </row>
    <row r="18" customFormat="false" ht="15" hidden="false" customHeight="true" outlineLevel="0" collapsed="false">
      <c r="A18" s="4" t="n">
        <v>7</v>
      </c>
      <c r="B18" s="9" t="n">
        <f aca="false">$B$4*2^INT((A18-1)/$B$7)</f>
        <v>0.25</v>
      </c>
      <c r="C18" s="9" t="n">
        <f aca="false">SUM($B$12:B18)</f>
        <v>1.75</v>
      </c>
      <c r="D18" s="9" t="n">
        <f aca="false">$B$5-C18</f>
        <v>98.25</v>
      </c>
      <c r="E18" s="10" t="n">
        <f aca="false">($F$5/100)^A18</f>
        <v>0.322164474608192</v>
      </c>
      <c r="F18" s="9" t="n">
        <f aca="false">B18*$B$6</f>
        <v>3.735</v>
      </c>
    </row>
    <row r="19" customFormat="false" ht="15" hidden="false" customHeight="true" outlineLevel="0" collapsed="false">
      <c r="A19" s="4" t="n">
        <v>8</v>
      </c>
      <c r="B19" s="9" t="n">
        <f aca="false">$B$4*2^INT((A19-1)/$B$7)</f>
        <v>0.25</v>
      </c>
      <c r="C19" s="9" t="n">
        <f aca="false">SUM($B$12:B19)</f>
        <v>2</v>
      </c>
      <c r="D19" s="9" t="n">
        <f aca="false">$B$5-C19</f>
        <v>98</v>
      </c>
      <c r="E19" s="10" t="n">
        <f aca="false">($F$5/100)^A19</f>
        <v>0.274033102101728</v>
      </c>
      <c r="F19" s="9" t="n">
        <f aca="false">B19*$B$6</f>
        <v>3.735</v>
      </c>
    </row>
    <row r="20" customFormat="false" ht="15" hidden="false" customHeight="true" outlineLevel="0" collapsed="false">
      <c r="A20" s="4" t="n">
        <v>9</v>
      </c>
      <c r="B20" s="9" t="n">
        <f aca="false">$B$4*2^INT((A20-1)/$B$7)</f>
        <v>0.25</v>
      </c>
      <c r="C20" s="9" t="n">
        <f aca="false">SUM($B$12:B20)</f>
        <v>2.25</v>
      </c>
      <c r="D20" s="9" t="n">
        <f aca="false">$B$5-C20</f>
        <v>97.75</v>
      </c>
      <c r="E20" s="10" t="n">
        <f aca="false">($F$5/100)^A20</f>
        <v>0.23309255664773</v>
      </c>
      <c r="F20" s="9" t="n">
        <f aca="false">B20*$B$6</f>
        <v>3.735</v>
      </c>
    </row>
    <row r="21" customFormat="false" ht="15" hidden="false" customHeight="true" outlineLevel="0" collapsed="false">
      <c r="A21" s="4" t="n">
        <v>10</v>
      </c>
      <c r="B21" s="9" t="n">
        <f aca="false">$B$4*2^INT((A21-1)/$B$7)</f>
        <v>0.25</v>
      </c>
      <c r="C21" s="9" t="n">
        <f aca="false">SUM($B$12:B21)</f>
        <v>2.5</v>
      </c>
      <c r="D21" s="9" t="n">
        <f aca="false">$B$5-C21</f>
        <v>97.5</v>
      </c>
      <c r="E21" s="10" t="n">
        <f aca="false">($F$5/100)^A21</f>
        <v>0.198268528684559</v>
      </c>
      <c r="F21" s="9" t="n">
        <f aca="false">B21*$B$6</f>
        <v>3.735</v>
      </c>
    </row>
    <row r="22" customFormat="false" ht="15" hidden="false" customHeight="true" outlineLevel="0" collapsed="false">
      <c r="A22" s="4" t="n">
        <v>11</v>
      </c>
      <c r="B22" s="9" t="n">
        <f aca="false">$B$4*2^INT((A22-1)/$B$7)</f>
        <v>0.5</v>
      </c>
      <c r="C22" s="9" t="n">
        <f aca="false">SUM($B$12:B22)</f>
        <v>3</v>
      </c>
      <c r="D22" s="9" t="n">
        <f aca="false">$B$5-C22</f>
        <v>97</v>
      </c>
      <c r="E22" s="10" t="n">
        <f aca="false">($F$5/100)^A22</f>
        <v>0.168647210499086</v>
      </c>
      <c r="F22" s="9" t="n">
        <f aca="false">B22*$B$6</f>
        <v>7.47</v>
      </c>
    </row>
    <row r="23" customFormat="false" ht="15" hidden="false" customHeight="true" outlineLevel="0" collapsed="false">
      <c r="A23" s="4" t="n">
        <v>12</v>
      </c>
      <c r="B23" s="9" t="n">
        <f aca="false">$B$4*2^INT((A23-1)/$B$7)</f>
        <v>0.5</v>
      </c>
      <c r="C23" s="9" t="n">
        <f aca="false">SUM($B$12:B23)</f>
        <v>3.5</v>
      </c>
      <c r="D23" s="9" t="n">
        <f aca="false">$B$5-C23</f>
        <v>96.5</v>
      </c>
      <c r="E23" s="10" t="n">
        <f aca="false">($F$5/100)^A23</f>
        <v>0.143451317250522</v>
      </c>
      <c r="F23" s="9" t="n">
        <f aca="false">B23*$B$6</f>
        <v>7.47</v>
      </c>
    </row>
    <row r="24" customFormat="false" ht="15" hidden="false" customHeight="true" outlineLevel="0" collapsed="false">
      <c r="A24" s="4" t="n">
        <v>13</v>
      </c>
      <c r="B24" s="9" t="n">
        <f aca="false">$B$4*2^INT((A24-1)/$B$7)</f>
        <v>0.5</v>
      </c>
      <c r="C24" s="9" t="n">
        <f aca="false">SUM($B$12:B24)</f>
        <v>4</v>
      </c>
      <c r="D24" s="9" t="n">
        <f aca="false">$B$5-C24</f>
        <v>96</v>
      </c>
      <c r="E24" s="10" t="n">
        <f aca="false">($F$5/100)^A24</f>
        <v>0.122019690453294</v>
      </c>
      <c r="F24" s="9" t="n">
        <f aca="false">B24*$B$6</f>
        <v>7.47</v>
      </c>
    </row>
    <row r="25" customFormat="false" ht="15" hidden="false" customHeight="true" outlineLevel="0" collapsed="false">
      <c r="A25" s="4" t="n">
        <v>14</v>
      </c>
      <c r="B25" s="9" t="n">
        <f aca="false">$B$4*2^INT((A25-1)/$B$7)</f>
        <v>0.5</v>
      </c>
      <c r="C25" s="9" t="n">
        <f aca="false">SUM($B$12:B25)</f>
        <v>4.5</v>
      </c>
      <c r="D25" s="9" t="n">
        <f aca="false">$B$5-C25</f>
        <v>95.5</v>
      </c>
      <c r="E25" s="10" t="n">
        <f aca="false">($F$5/100)^A25</f>
        <v>0.103789948699572</v>
      </c>
      <c r="F25" s="9" t="n">
        <f aca="false">B25*$B$6</f>
        <v>7.47</v>
      </c>
    </row>
    <row r="26" customFormat="false" ht="15" hidden="false" customHeight="true" outlineLevel="0" collapsed="false">
      <c r="A26" s="4" t="n">
        <v>15</v>
      </c>
      <c r="B26" s="9" t="n">
        <f aca="false">$B$4*2^INT((A26-1)/$B$7)</f>
        <v>0.5</v>
      </c>
      <c r="C26" s="9" t="n">
        <f aca="false">SUM($B$12:B26)</f>
        <v>5</v>
      </c>
      <c r="D26" s="9" t="n">
        <f aca="false">$B$5-C26</f>
        <v>95</v>
      </c>
      <c r="E26" s="10" t="n">
        <f aca="false">($F$5/100)^A26</f>
        <v>0.0882837303638561</v>
      </c>
      <c r="F26" s="9" t="n">
        <f aca="false">B26*$B$6</f>
        <v>7.47</v>
      </c>
    </row>
    <row r="27" customFormat="false" ht="15" hidden="false" customHeight="true" outlineLevel="0" collapsed="false">
      <c r="A27" s="4" t="n">
        <v>16</v>
      </c>
      <c r="B27" s="9" t="n">
        <f aca="false">$B$4*2^INT((A27-1)/$B$7)</f>
        <v>0.5</v>
      </c>
      <c r="C27" s="9" t="n">
        <f aca="false">SUM($B$12:B27)</f>
        <v>5.5</v>
      </c>
      <c r="D27" s="9" t="n">
        <f aca="false">$B$5-C27</f>
        <v>94.5</v>
      </c>
      <c r="E27" s="10" t="n">
        <f aca="false">($F$5/100)^A27</f>
        <v>0.075094141047496</v>
      </c>
      <c r="F27" s="9" t="n">
        <f aca="false">B27*$B$6</f>
        <v>7.47</v>
      </c>
    </row>
    <row r="28" customFormat="false" ht="15" hidden="false" customHeight="true" outlineLevel="0" collapsed="false">
      <c r="A28" s="4" t="n">
        <v>17</v>
      </c>
      <c r="B28" s="9" t="n">
        <f aca="false">$B$4*2^INT((A28-1)/$B$7)</f>
        <v>0.5</v>
      </c>
      <c r="C28" s="9" t="n">
        <f aca="false">SUM($B$12:B28)</f>
        <v>6</v>
      </c>
      <c r="D28" s="9" t="n">
        <f aca="false">$B$5-C28</f>
        <v>94</v>
      </c>
      <c r="E28" s="10" t="n">
        <f aca="false">($F$5/100)^A28</f>
        <v>0.0638750763750001</v>
      </c>
      <c r="F28" s="9" t="n">
        <f aca="false">B28*$B$6</f>
        <v>7.47</v>
      </c>
    </row>
    <row r="29" customFormat="false" ht="15" hidden="false" customHeight="true" outlineLevel="0" collapsed="false">
      <c r="A29" s="4" t="n">
        <v>18</v>
      </c>
      <c r="B29" s="9" t="n">
        <f aca="false">$B$4*2^INT((A29-1)/$B$7)</f>
        <v>0.5</v>
      </c>
      <c r="C29" s="9" t="n">
        <f aca="false">SUM($B$12:B29)</f>
        <v>6.5</v>
      </c>
      <c r="D29" s="9" t="n">
        <f aca="false">$B$5-C29</f>
        <v>93.5</v>
      </c>
      <c r="E29" s="10" t="n">
        <f aca="false">($F$5/100)^A29</f>
        <v>0.0543321399645751</v>
      </c>
      <c r="F29" s="9" t="n">
        <f aca="false">B29*$B$6</f>
        <v>7.47</v>
      </c>
    </row>
    <row r="30" customFormat="false" ht="15" hidden="false" customHeight="true" outlineLevel="0" collapsed="false">
      <c r="A30" s="4" t="n">
        <v>19</v>
      </c>
      <c r="B30" s="9" t="n">
        <f aca="false">$B$4*2^INT((A30-1)/$B$7)</f>
        <v>0.5</v>
      </c>
      <c r="C30" s="9" t="n">
        <f aca="false">SUM($B$12:B30)</f>
        <v>7</v>
      </c>
      <c r="D30" s="9" t="n">
        <f aca="false">$B$5-C30</f>
        <v>93</v>
      </c>
      <c r="E30" s="10" t="n">
        <f aca="false">($F$5/100)^A30</f>
        <v>0.0462149182538676</v>
      </c>
      <c r="F30" s="9" t="n">
        <f aca="false">B30*$B$6</f>
        <v>7.47</v>
      </c>
    </row>
    <row r="31" customFormat="false" ht="15" hidden="false" customHeight="true" outlineLevel="0" collapsed="false">
      <c r="A31" s="4" t="n">
        <v>20</v>
      </c>
      <c r="B31" s="9" t="n">
        <f aca="false">$B$4*2^INT((A31-1)/$B$7)</f>
        <v>0.5</v>
      </c>
      <c r="C31" s="9" t="n">
        <f aca="false">SUM($B$12:B31)</f>
        <v>7.5</v>
      </c>
      <c r="D31" s="9" t="n">
        <f aca="false">$B$5-C31</f>
        <v>92.5</v>
      </c>
      <c r="E31" s="10" t="n">
        <f aca="false">($F$5/100)^A31</f>
        <v>0.0393104094667398</v>
      </c>
      <c r="F31" s="9" t="n">
        <f aca="false">B31*$B$6</f>
        <v>7.47</v>
      </c>
    </row>
    <row r="32" customFormat="false" ht="15" hidden="false" customHeight="true" outlineLevel="0" collapsed="false">
      <c r="A32" s="4" t="n">
        <v>21</v>
      </c>
      <c r="B32" s="9" t="n">
        <f aca="false">$B$4*2^INT((A32-1)/$B$7)</f>
        <v>1</v>
      </c>
      <c r="C32" s="9" t="n">
        <f aca="false">SUM($B$12:B32)</f>
        <v>8.5</v>
      </c>
      <c r="D32" s="9" t="n">
        <f aca="false">$B$5-C32</f>
        <v>91.5</v>
      </c>
      <c r="E32" s="10" t="n">
        <f aca="false">($F$5/100)^A32</f>
        <v>0.0334374342924088</v>
      </c>
      <c r="F32" s="9" t="n">
        <f aca="false">B32*$B$6</f>
        <v>14.94</v>
      </c>
    </row>
    <row r="33" customFormat="false" ht="15" hidden="false" customHeight="true" outlineLevel="0" collapsed="false">
      <c r="A33" s="4" t="n">
        <v>22</v>
      </c>
      <c r="B33" s="9" t="n">
        <f aca="false">$B$4*2^INT((A33-1)/$B$7)</f>
        <v>1</v>
      </c>
      <c r="C33" s="9" t="n">
        <f aca="false">SUM($B$12:B33)</f>
        <v>9.5</v>
      </c>
      <c r="D33" s="9" t="n">
        <f aca="false">$B$5-C33</f>
        <v>90.5</v>
      </c>
      <c r="E33" s="10" t="n">
        <f aca="false">($F$5/100)^A33</f>
        <v>0.028441881609123</v>
      </c>
      <c r="F33" s="9" t="n">
        <f aca="false">B33*$B$6</f>
        <v>14.94</v>
      </c>
    </row>
    <row r="34" customFormat="false" ht="15" hidden="false" customHeight="true" outlineLevel="0" collapsed="false">
      <c r="A34" s="4" t="n">
        <v>23</v>
      </c>
      <c r="B34" s="9" t="n">
        <f aca="false">$B$4*2^INT((A34-1)/$B$7)</f>
        <v>1</v>
      </c>
      <c r="C34" s="9" t="n">
        <f aca="false">SUM($B$12:B34)</f>
        <v>10.5</v>
      </c>
      <c r="D34" s="9" t="n">
        <f aca="false">$B$5-C34</f>
        <v>89.5</v>
      </c>
      <c r="E34" s="10" t="n">
        <f aca="false">($F$5/100)^A34</f>
        <v>0.02419266449672</v>
      </c>
      <c r="F34" s="9" t="n">
        <f aca="false">B34*$B$6</f>
        <v>14.94</v>
      </c>
    </row>
    <row r="35" customFormat="false" ht="15" hidden="false" customHeight="true" outlineLevel="0" collapsed="false">
      <c r="A35" s="4" t="n">
        <v>24</v>
      </c>
      <c r="B35" s="9" t="n">
        <f aca="false">$B$4*2^INT((A35-1)/$B$7)</f>
        <v>1</v>
      </c>
      <c r="C35" s="9" t="n">
        <f aca="false">SUM($B$12:B35)</f>
        <v>11.5</v>
      </c>
      <c r="D35" s="9" t="n">
        <f aca="false">$B$5-C35</f>
        <v>88.5</v>
      </c>
      <c r="E35" s="10" t="n">
        <f aca="false">($F$5/100)^A35</f>
        <v>0.02057828042091</v>
      </c>
      <c r="F35" s="9" t="n">
        <f aca="false">B35*$B$6</f>
        <v>14.94</v>
      </c>
    </row>
    <row r="36" customFormat="false" ht="15" hidden="false" customHeight="true" outlineLevel="0" collapsed="false">
      <c r="A36" s="4" t="n">
        <v>25</v>
      </c>
      <c r="B36" s="9" t="n">
        <f aca="false">$B$4*2^INT((A36-1)/$B$7)</f>
        <v>1</v>
      </c>
      <c r="C36" s="9" t="n">
        <f aca="false">SUM($B$12:B36)</f>
        <v>12.5</v>
      </c>
      <c r="D36" s="9" t="n">
        <f aca="false">$B$5-C36</f>
        <v>87.5</v>
      </c>
      <c r="E36" s="10" t="n">
        <f aca="false">($F$5/100)^A36</f>
        <v>0.0175038853260261</v>
      </c>
      <c r="F36" s="9" t="n">
        <f aca="false">B36*$B$6</f>
        <v>14.94</v>
      </c>
    </row>
    <row r="37" customFormat="false" ht="15" hidden="false" customHeight="true" outlineLevel="0" collapsed="false">
      <c r="A37" s="4" t="n">
        <v>26</v>
      </c>
      <c r="B37" s="9" t="n">
        <f aca="false">$B$4*2^INT((A37-1)/$B$7)</f>
        <v>1</v>
      </c>
      <c r="C37" s="9" t="n">
        <f aca="false">SUM($B$12:B37)</f>
        <v>13.5</v>
      </c>
      <c r="D37" s="9" t="n">
        <f aca="false">$B$5-C37</f>
        <v>86.5</v>
      </c>
      <c r="E37" s="10" t="n">
        <f aca="false">($F$5/100)^A37</f>
        <v>0.0148888048583178</v>
      </c>
      <c r="F37" s="9" t="n">
        <f aca="false">B37*$B$6</f>
        <v>14.94</v>
      </c>
    </row>
    <row r="38" customFormat="false" ht="15" hidden="false" customHeight="true" outlineLevel="0" collapsed="false">
      <c r="A38" s="4" t="n">
        <v>27</v>
      </c>
      <c r="B38" s="9" t="n">
        <f aca="false">$B$4*2^INT((A38-1)/$B$7)</f>
        <v>1</v>
      </c>
      <c r="C38" s="9" t="n">
        <f aca="false">SUM($B$12:B38)</f>
        <v>14.5</v>
      </c>
      <c r="D38" s="9" t="n">
        <f aca="false">$B$5-C38</f>
        <v>85.5</v>
      </c>
      <c r="E38" s="10" t="n">
        <f aca="false">($F$5/100)^A38</f>
        <v>0.0126644174124851</v>
      </c>
      <c r="F38" s="9" t="n">
        <f aca="false">B38*$B$6</f>
        <v>14.94</v>
      </c>
    </row>
    <row r="39" customFormat="false" ht="15" hidden="false" customHeight="true" outlineLevel="0" collapsed="false">
      <c r="A39" s="4" t="n">
        <v>28</v>
      </c>
      <c r="B39" s="9" t="n">
        <f aca="false">$B$4*2^INT((A39-1)/$B$7)</f>
        <v>1</v>
      </c>
      <c r="C39" s="9" t="n">
        <f aca="false">SUM($B$12:B39)</f>
        <v>15.5</v>
      </c>
      <c r="D39" s="9" t="n">
        <f aca="false">$B$5-C39</f>
        <v>84.5</v>
      </c>
      <c r="E39" s="10" t="n">
        <f aca="false">($F$5/100)^A39</f>
        <v>0.0107723534510598</v>
      </c>
      <c r="F39" s="9" t="n">
        <f aca="false">B39*$B$6</f>
        <v>14.94</v>
      </c>
    </row>
    <row r="40" customFormat="false" ht="15" hidden="false" customHeight="true" outlineLevel="0" collapsed="false">
      <c r="A40" s="4" t="n">
        <v>29</v>
      </c>
      <c r="B40" s="9" t="n">
        <f aca="false">$B$4*2^INT((A40-1)/$B$7)</f>
        <v>1</v>
      </c>
      <c r="C40" s="9" t="n">
        <f aca="false">SUM($B$12:B40)</f>
        <v>16.5</v>
      </c>
      <c r="D40" s="9" t="n">
        <f aca="false">$B$5-C40</f>
        <v>83.5</v>
      </c>
      <c r="E40" s="10" t="n">
        <f aca="false">($F$5/100)^A40</f>
        <v>0.00916296384547149</v>
      </c>
      <c r="F40" s="9" t="n">
        <f aca="false">B40*$B$6</f>
        <v>14.94</v>
      </c>
    </row>
    <row r="41" customFormat="false" ht="15" hidden="false" customHeight="true" outlineLevel="0" collapsed="false">
      <c r="A41" s="4" t="n">
        <v>30</v>
      </c>
      <c r="B41" s="9" t="n">
        <f aca="false">$B$4*2^INT((A41-1)/$B$7)</f>
        <v>1</v>
      </c>
      <c r="C41" s="9" t="n">
        <f aca="false">SUM($B$12:B41)</f>
        <v>17.5</v>
      </c>
      <c r="D41" s="9" t="n">
        <f aca="false">$B$5-C41</f>
        <v>82.5</v>
      </c>
      <c r="E41" s="10" t="n">
        <f aca="false">($F$5/100)^A41</f>
        <v>0.00779401704695805</v>
      </c>
      <c r="F41" s="9" t="n">
        <f aca="false">B41*$B$6</f>
        <v>14.94</v>
      </c>
    </row>
    <row r="42" customFormat="false" ht="15" hidden="false" customHeight="true" outlineLevel="0" collapsed="false">
      <c r="A42" s="4" t="n">
        <v>31</v>
      </c>
      <c r="B42" s="9" t="n">
        <f aca="false">$B$4*2^INT((A42-1)/$B$7)</f>
        <v>2</v>
      </c>
      <c r="C42" s="9" t="n">
        <f aca="false">SUM($B$12:B42)</f>
        <v>19.5</v>
      </c>
      <c r="D42" s="9" t="n">
        <f aca="false">$B$5-C42</f>
        <v>80.5</v>
      </c>
      <c r="E42" s="10" t="n">
        <f aca="false">($F$5/100)^A42</f>
        <v>0.00662959090014251</v>
      </c>
      <c r="F42" s="9" t="n">
        <f aca="false">B42*$B$6</f>
        <v>29.88</v>
      </c>
    </row>
    <row r="43" customFormat="false" ht="15" hidden="false" customHeight="true" outlineLevel="0" collapsed="false">
      <c r="A43" s="4" t="n">
        <v>32</v>
      </c>
      <c r="B43" s="9" t="n">
        <f aca="false">$B$4*2^INT((A43-1)/$B$7)</f>
        <v>2</v>
      </c>
      <c r="C43" s="9" t="n">
        <f aca="false">SUM($B$12:B43)</f>
        <v>21.5</v>
      </c>
      <c r="D43" s="9" t="n">
        <f aca="false">$B$5-C43</f>
        <v>78.5</v>
      </c>
      <c r="E43" s="10" t="n">
        <f aca="false">($F$5/100)^A43</f>
        <v>0.00563913001966122</v>
      </c>
      <c r="F43" s="9" t="n">
        <f aca="false">B43*$B$6</f>
        <v>29.88</v>
      </c>
    </row>
    <row r="44" customFormat="false" ht="15" hidden="false" customHeight="true" outlineLevel="0" collapsed="false">
      <c r="A44" s="4" t="n">
        <v>33</v>
      </c>
      <c r="B44" s="9" t="n">
        <f aca="false">$B$4*2^INT((A44-1)/$B$7)</f>
        <v>2</v>
      </c>
      <c r="C44" s="9" t="n">
        <f aca="false">SUM($B$12:B44)</f>
        <v>23.5</v>
      </c>
      <c r="D44" s="9" t="n">
        <f aca="false">$B$5-C44</f>
        <v>76.5</v>
      </c>
      <c r="E44" s="10" t="n">
        <f aca="false">($F$5/100)^A44</f>
        <v>0.00479664399472384</v>
      </c>
      <c r="F44" s="9" t="n">
        <f aca="false">B44*$B$6</f>
        <v>29.88</v>
      </c>
    </row>
    <row r="45" customFormat="false" ht="15" hidden="false" customHeight="true" outlineLevel="0" collapsed="false">
      <c r="A45" s="4" t="n">
        <v>34</v>
      </c>
      <c r="B45" s="9" t="n">
        <f aca="false">$B$4*2^INT((A45-1)/$B$7)</f>
        <v>2</v>
      </c>
      <c r="C45" s="9" t="n">
        <f aca="false">SUM($B$12:B45)</f>
        <v>25.5</v>
      </c>
      <c r="D45" s="9" t="n">
        <f aca="false">$B$5-C45</f>
        <v>74.5</v>
      </c>
      <c r="E45" s="10" t="n">
        <f aca="false">($F$5/100)^A45</f>
        <v>0.0040800253819121</v>
      </c>
      <c r="F45" s="9" t="n">
        <f aca="false">B45*$B$6</f>
        <v>29.88</v>
      </c>
    </row>
    <row r="46" customFormat="false" ht="15" hidden="false" customHeight="true" outlineLevel="0" collapsed="false">
      <c r="A46" s="4" t="n">
        <v>35</v>
      </c>
      <c r="B46" s="9" t="n">
        <f aca="false">$B$4*2^INT((A46-1)/$B$7)</f>
        <v>2</v>
      </c>
      <c r="C46" s="9" t="n">
        <f aca="false">SUM($B$12:B46)</f>
        <v>27.5</v>
      </c>
      <c r="D46" s="9" t="n">
        <f aca="false">$B$5-C46</f>
        <v>72.5</v>
      </c>
      <c r="E46" s="10" t="n">
        <f aca="false">($F$5/100)^A46</f>
        <v>0.00347046958985443</v>
      </c>
      <c r="F46" s="9" t="n">
        <f aca="false">B46*$B$6</f>
        <v>29.88</v>
      </c>
    </row>
    <row r="47" customFormat="false" ht="15" hidden="false" customHeight="true" outlineLevel="0" collapsed="false">
      <c r="A47" s="4" t="n">
        <v>36</v>
      </c>
      <c r="B47" s="9" t="n">
        <f aca="false">$B$4*2^INT((A47-1)/$B$7)</f>
        <v>2</v>
      </c>
      <c r="C47" s="9" t="n">
        <f aca="false">SUM($B$12:B47)</f>
        <v>29.5</v>
      </c>
      <c r="D47" s="9" t="n">
        <f aca="false">$B$5-C47</f>
        <v>70.5</v>
      </c>
      <c r="E47" s="10" t="n">
        <f aca="false">($F$5/100)^A47</f>
        <v>0.00295198143313018</v>
      </c>
      <c r="F47" s="9" t="n">
        <f aca="false">B47*$B$6</f>
        <v>29.88</v>
      </c>
    </row>
    <row r="48" customFormat="false" ht="15" hidden="false" customHeight="true" outlineLevel="0" collapsed="false">
      <c r="A48" s="4" t="n">
        <v>37</v>
      </c>
      <c r="B48" s="9" t="n">
        <f aca="false">$B$4*2^INT((A48-1)/$B$7)</f>
        <v>2</v>
      </c>
      <c r="C48" s="9" t="n">
        <f aca="false">SUM($B$12:B48)</f>
        <v>31.5</v>
      </c>
      <c r="D48" s="9" t="n">
        <f aca="false">$B$5-C48</f>
        <v>68.5</v>
      </c>
      <c r="E48" s="10" t="n">
        <f aca="false">($F$5/100)^A48</f>
        <v>0.00251095540702053</v>
      </c>
      <c r="F48" s="9" t="n">
        <f aca="false">B48*$B$6</f>
        <v>29.88</v>
      </c>
    </row>
    <row r="49" customFormat="false" ht="15" hidden="false" customHeight="true" outlineLevel="0" collapsed="false">
      <c r="A49" s="4" t="n">
        <v>38</v>
      </c>
      <c r="B49" s="9" t="n">
        <f aca="false">$B$4*2^INT((A49-1)/$B$7)</f>
        <v>2</v>
      </c>
      <c r="C49" s="9" t="n">
        <f aca="false">SUM($B$12:B49)</f>
        <v>33.5</v>
      </c>
      <c r="D49" s="9" t="n">
        <f aca="false">$B$5-C49</f>
        <v>66.5</v>
      </c>
      <c r="E49" s="10" t="n">
        <f aca="false">($F$5/100)^A49</f>
        <v>0.00213581866921166</v>
      </c>
      <c r="F49" s="9" t="n">
        <f aca="false">B49*$B$6</f>
        <v>29.88</v>
      </c>
    </row>
    <row r="50" customFormat="false" ht="15" hidden="false" customHeight="true" outlineLevel="0" collapsed="false">
      <c r="A50" s="4" t="n">
        <v>39</v>
      </c>
      <c r="B50" s="9" t="n">
        <f aca="false">$B$4*2^INT((A50-1)/$B$7)</f>
        <v>2</v>
      </c>
      <c r="C50" s="9" t="n">
        <f aca="false">SUM($B$12:B50)</f>
        <v>35.5</v>
      </c>
      <c r="D50" s="9" t="n">
        <f aca="false">$B$5-C50</f>
        <v>64.5</v>
      </c>
      <c r="E50" s="10" t="n">
        <f aca="false">($F$5/100)^A50</f>
        <v>0.00181672736003144</v>
      </c>
      <c r="F50" s="9" t="n">
        <f aca="false">B50*$B$6</f>
        <v>29.88</v>
      </c>
    </row>
    <row r="51" customFormat="false" ht="15" hidden="false" customHeight="true" outlineLevel="0" collapsed="false">
      <c r="A51" s="4" t="n">
        <v>40</v>
      </c>
      <c r="B51" s="9" t="n">
        <f aca="false">$B$4*2^INT((A51-1)/$B$7)</f>
        <v>2</v>
      </c>
      <c r="C51" s="9" t="n">
        <f aca="false">SUM($B$12:B51)</f>
        <v>37.5</v>
      </c>
      <c r="D51" s="9" t="n">
        <f aca="false">$B$5-C51</f>
        <v>62.5</v>
      </c>
      <c r="E51" s="10" t="n">
        <f aca="false">($F$5/100)^A51</f>
        <v>0.00154530829244274</v>
      </c>
      <c r="F51" s="9" t="n">
        <f aca="false">B51*$B$6</f>
        <v>29.88</v>
      </c>
    </row>
    <row r="52" customFormat="false" ht="15" hidden="false" customHeight="true" outlineLevel="0" collapsed="false">
      <c r="A52" s="4" t="n">
        <v>41</v>
      </c>
      <c r="B52" s="9" t="n">
        <f aca="false">$B$4*2^INT((A52-1)/$B$7)</f>
        <v>4</v>
      </c>
      <c r="C52" s="9" t="n">
        <f aca="false">SUM($B$12:B52)</f>
        <v>41.5</v>
      </c>
      <c r="D52" s="9" t="n">
        <f aca="false">$B$5-C52</f>
        <v>58.5</v>
      </c>
      <c r="E52" s="10" t="n">
        <f aca="false">($F$5/100)^A52</f>
        <v>0.0013144392335518</v>
      </c>
      <c r="F52" s="9" t="n">
        <f aca="false">B52*$B$6</f>
        <v>59.76</v>
      </c>
    </row>
    <row r="53" customFormat="false" ht="15" hidden="false" customHeight="true" outlineLevel="0" collapsed="false">
      <c r="A53" s="4" t="n">
        <v>42</v>
      </c>
      <c r="B53" s="9" t="n">
        <f aca="false">$B$4*2^INT((A53-1)/$B$7)</f>
        <v>4</v>
      </c>
      <c r="C53" s="9" t="n">
        <f aca="false">SUM($B$12:B53)</f>
        <v>45.5</v>
      </c>
      <c r="D53" s="9" t="n">
        <f aca="false">$B$5-C53</f>
        <v>54.5</v>
      </c>
      <c r="E53" s="10" t="n">
        <f aca="false">($F$5/100)^A53</f>
        <v>0.00111806201205916</v>
      </c>
      <c r="F53" s="9" t="n">
        <f aca="false">B53*$B$6</f>
        <v>59.76</v>
      </c>
    </row>
    <row r="54" customFormat="false" ht="15" hidden="false" customHeight="true" outlineLevel="0" collapsed="false">
      <c r="A54" s="4" t="n">
        <v>43</v>
      </c>
      <c r="B54" s="9" t="n">
        <f aca="false">$B$4*2^INT((A54-1)/$B$7)</f>
        <v>4</v>
      </c>
      <c r="C54" s="9" t="n">
        <f aca="false">SUM($B$12:B54)</f>
        <v>49.5</v>
      </c>
      <c r="D54" s="9" t="n">
        <f aca="false">$B$5-C54</f>
        <v>50.5</v>
      </c>
      <c r="E54" s="10" t="n">
        <f aca="false">($F$5/100)^A54</f>
        <v>0.00095102354745752</v>
      </c>
      <c r="F54" s="9" t="n">
        <f aca="false">B54*$B$6</f>
        <v>59.76</v>
      </c>
    </row>
    <row r="55" customFormat="false" ht="15" hidden="false" customHeight="true" outlineLevel="0" collapsed="false">
      <c r="A55" s="4" t="n">
        <v>44</v>
      </c>
      <c r="B55" s="9" t="n">
        <f aca="false">$B$4*2^INT((A55-1)/$B$7)</f>
        <v>4</v>
      </c>
      <c r="C55" s="9" t="n">
        <f aca="false">SUM($B$12:B55)</f>
        <v>53.5</v>
      </c>
      <c r="D55" s="9" t="n">
        <f aca="false">$B$5-C55</f>
        <v>46.5</v>
      </c>
      <c r="E55" s="10" t="n">
        <f aca="false">($F$5/100)^A55</f>
        <v>0.000808940629467367</v>
      </c>
      <c r="F55" s="9" t="n">
        <f aca="false">B55*$B$6</f>
        <v>59.76</v>
      </c>
    </row>
    <row r="56" customFormat="false" ht="15" hidden="false" customHeight="true" outlineLevel="0" collapsed="false">
      <c r="A56" s="4" t="n">
        <v>45</v>
      </c>
      <c r="B56" s="9" t="n">
        <f aca="false">$B$4*2^INT((A56-1)/$B$7)</f>
        <v>4</v>
      </c>
      <c r="C56" s="9" t="n">
        <f aca="false">SUM($B$12:B56)</f>
        <v>57.5</v>
      </c>
      <c r="D56" s="9" t="n">
        <f aca="false">$B$5-C56</f>
        <v>42.5</v>
      </c>
      <c r="E56" s="10" t="n">
        <f aca="false">($F$5/100)^A56</f>
        <v>0.000688084899424942</v>
      </c>
      <c r="F56" s="9" t="n">
        <f aca="false">B56*$B$6</f>
        <v>59.76</v>
      </c>
    </row>
    <row r="57" customFormat="false" ht="15" hidden="false" customHeight="true" outlineLevel="0" collapsed="false">
      <c r="A57" s="4" t="n">
        <v>46</v>
      </c>
      <c r="B57" s="9" t="n">
        <f aca="false">$B$4*2^INT((A57-1)/$B$7)</f>
        <v>4</v>
      </c>
      <c r="C57" s="9" t="n">
        <f aca="false">SUM($B$12:B57)</f>
        <v>61.5</v>
      </c>
      <c r="D57" s="9" t="n">
        <f aca="false">$B$5-C57</f>
        <v>38.5</v>
      </c>
      <c r="E57" s="10" t="n">
        <f aca="false">($F$5/100)^A57</f>
        <v>0.000585285015450856</v>
      </c>
      <c r="F57" s="9" t="n">
        <f aca="false">B57*$B$6</f>
        <v>59.76</v>
      </c>
    </row>
    <row r="58" customFormat="false" ht="15" hidden="false" customHeight="true" outlineLevel="0" collapsed="false">
      <c r="A58" s="4" t="n">
        <v>47</v>
      </c>
      <c r="B58" s="9" t="n">
        <f aca="false">$B$4*2^INT((A58-1)/$B$7)</f>
        <v>4</v>
      </c>
      <c r="C58" s="9" t="n">
        <f aca="false">SUM($B$12:B58)</f>
        <v>65.5</v>
      </c>
      <c r="D58" s="9" t="n">
        <f aca="false">$B$5-C58</f>
        <v>34.5</v>
      </c>
      <c r="E58" s="10" t="n">
        <f aca="false">($F$5/100)^A58</f>
        <v>0.000497843434142498</v>
      </c>
      <c r="F58" s="9" t="n">
        <f aca="false">B58*$B$6</f>
        <v>59.76</v>
      </c>
    </row>
    <row r="59" customFormat="false" ht="15" hidden="false" customHeight="true" outlineLevel="0" collapsed="false">
      <c r="A59" s="4" t="n">
        <v>48</v>
      </c>
      <c r="B59" s="9" t="n">
        <f aca="false">$B$4*2^INT((A59-1)/$B$7)</f>
        <v>4</v>
      </c>
      <c r="C59" s="9" t="n">
        <f aca="false">SUM($B$12:B59)</f>
        <v>69.5</v>
      </c>
      <c r="D59" s="9" t="n">
        <f aca="false">$B$5-C59</f>
        <v>30.5</v>
      </c>
      <c r="E59" s="10" t="n">
        <f aca="false">($F$5/100)^A59</f>
        <v>0.000423465625081609</v>
      </c>
      <c r="F59" s="9" t="n">
        <f aca="false">B59*$B$6</f>
        <v>59.76</v>
      </c>
    </row>
    <row r="60" customFormat="false" ht="15" hidden="false" customHeight="true" outlineLevel="0" collapsed="false">
      <c r="A60" s="4" t="n">
        <v>49</v>
      </c>
      <c r="B60" s="9" t="n">
        <f aca="false">$B$4*2^INT((A60-1)/$B$7)</f>
        <v>4</v>
      </c>
      <c r="C60" s="9" t="n">
        <f aca="false">SUM($B$12:B60)</f>
        <v>73.5</v>
      </c>
      <c r="D60" s="9" t="n">
        <f aca="false">$B$5-C60</f>
        <v>26.5</v>
      </c>
      <c r="E60" s="10" t="n">
        <f aca="false">($F$5/100)^A60</f>
        <v>0.000360199860694416</v>
      </c>
      <c r="F60" s="9" t="n">
        <f aca="false">B60*$B$6</f>
        <v>59.76</v>
      </c>
    </row>
    <row r="61" customFormat="false" ht="15" hidden="false" customHeight="true" outlineLevel="0" collapsed="false">
      <c r="A61" s="4" t="n">
        <v>50</v>
      </c>
      <c r="B61" s="9" t="n">
        <f aca="false">$B$4*2^INT((A61-1)/$B$7)</f>
        <v>4</v>
      </c>
      <c r="C61" s="9" t="n">
        <f aca="false">SUM($B$12:B61)</f>
        <v>77.5</v>
      </c>
      <c r="D61" s="9" t="n">
        <f aca="false">$B$5-C61</f>
        <v>22.5</v>
      </c>
      <c r="E61" s="10" t="n">
        <f aca="false">($F$5/100)^A61</f>
        <v>0.000306386001506671</v>
      </c>
      <c r="F61" s="9" t="n">
        <f aca="false">B61*$B$6</f>
        <v>59.76</v>
      </c>
    </row>
    <row r="62" customFormat="false" ht="15" hidden="false" customHeight="true" outlineLevel="0" collapsed="false">
      <c r="A62" s="4" t="n">
        <v>51</v>
      </c>
      <c r="B62" s="9" t="n">
        <f aca="false">$B$4*2^INT((A62-1)/$B$7)</f>
        <v>8</v>
      </c>
      <c r="C62" s="9" t="n">
        <f aca="false">SUM($B$12:B62)</f>
        <v>85.5</v>
      </c>
      <c r="D62" s="9" t="n">
        <f aca="false">$B$5-C62</f>
        <v>14.5</v>
      </c>
      <c r="E62" s="10" t="n">
        <f aca="false">($F$5/100)^A62</f>
        <v>0.000260611932881574</v>
      </c>
      <c r="F62" s="9" t="n">
        <f aca="false">B62*$B$6</f>
        <v>119.52</v>
      </c>
    </row>
    <row r="63" customFormat="false" ht="15" hidden="false" customHeight="true" outlineLevel="0" collapsed="false">
      <c r="A63" s="4" t="n">
        <v>52</v>
      </c>
      <c r="B63" s="9" t="n">
        <f aca="false">$B$4*2^INT((A63-1)/$B$7)</f>
        <v>8</v>
      </c>
      <c r="C63" s="9" t="n">
        <f aca="false">SUM($B$12:B63)</f>
        <v>93.5</v>
      </c>
      <c r="D63" s="9" t="n">
        <f aca="false">$B$5-C63</f>
        <v>6.5</v>
      </c>
      <c r="E63" s="10" t="n">
        <f aca="false">($F$5/100)^A63</f>
        <v>0.000221676510109067</v>
      </c>
      <c r="F63" s="9" t="n">
        <f aca="false">B63*$B$6</f>
        <v>119.52</v>
      </c>
    </row>
    <row r="64" customFormat="false" ht="15" hidden="false" customHeight="true" outlineLevel="0" collapsed="false">
      <c r="A64" s="4" t="n">
        <v>53</v>
      </c>
      <c r="B64" s="9" t="n">
        <f aca="false">$B$4*2^INT((A64-1)/$B$7)</f>
        <v>8</v>
      </c>
      <c r="C64" s="9" t="n">
        <f aca="false">SUM($B$12:B64)</f>
        <v>101.5</v>
      </c>
      <c r="D64" s="9" t="n">
        <f aca="false">$B$5-C64</f>
        <v>-1.5</v>
      </c>
      <c r="E64" s="10" t="n">
        <f aca="false">($F$5/100)^A64</f>
        <v>0.000188558039498772</v>
      </c>
      <c r="F64" s="9" t="n">
        <f aca="false">B64*$B$6</f>
        <v>119.52</v>
      </c>
    </row>
    <row r="65" customFormat="false" ht="15" hidden="false" customHeight="true" outlineLevel="0" collapsed="false">
      <c r="A65" s="4" t="n">
        <v>54</v>
      </c>
      <c r="B65" s="9" t="n">
        <f aca="false">$B$4*2^INT((A65-1)/$B$7)</f>
        <v>8</v>
      </c>
      <c r="C65" s="9" t="n">
        <f aca="false">SUM($B$12:B65)</f>
        <v>109.5</v>
      </c>
      <c r="D65" s="9" t="n">
        <f aca="false">$B$5-C65</f>
        <v>-9.5</v>
      </c>
      <c r="E65" s="10" t="n">
        <f aca="false">($F$5/100)^A65</f>
        <v>0.000160387468397656</v>
      </c>
      <c r="F65" s="9" t="n">
        <f aca="false">B65*$B$6</f>
        <v>119.52</v>
      </c>
    </row>
    <row r="66" customFormat="false" ht="15" hidden="false" customHeight="true" outlineLevel="0" collapsed="false">
      <c r="A66" s="4" t="n">
        <v>55</v>
      </c>
      <c r="B66" s="9" t="n">
        <f aca="false">$B$4*2^INT((A66-1)/$B$7)</f>
        <v>8</v>
      </c>
      <c r="C66" s="9" t="n">
        <f aca="false">SUM($B$12:B66)</f>
        <v>117.5</v>
      </c>
      <c r="D66" s="9" t="n">
        <f aca="false">$B$5-C66</f>
        <v>-17.5</v>
      </c>
      <c r="E66" s="10" t="n">
        <f aca="false">($F$5/100)^A66</f>
        <v>0.000136425580619046</v>
      </c>
      <c r="F66" s="9" t="n">
        <f aca="false">B66*$B$6</f>
        <v>119.52</v>
      </c>
    </row>
    <row r="67" customFormat="false" ht="15" hidden="false" customHeight="true" outlineLevel="0" collapsed="false">
      <c r="A67" s="4" t="n">
        <v>56</v>
      </c>
      <c r="B67" s="9" t="n">
        <f aca="false">$B$4*2^INT((A67-1)/$B$7)</f>
        <v>8</v>
      </c>
      <c r="C67" s="9" t="n">
        <f aca="false">SUM($B$12:B67)</f>
        <v>125.5</v>
      </c>
      <c r="D67" s="9" t="n">
        <f aca="false">$B$5-C67</f>
        <v>-25.5</v>
      </c>
      <c r="E67" s="10" t="n">
        <f aca="false">($F$5/100)^A67</f>
        <v>0.00011604359887456</v>
      </c>
      <c r="F67" s="9" t="n">
        <f aca="false">B67*$B$6</f>
        <v>119.52</v>
      </c>
    </row>
    <row r="68" customFormat="false" ht="15" hidden="false" customHeight="true" outlineLevel="0" collapsed="false">
      <c r="A68" s="4" t="n">
        <v>57</v>
      </c>
      <c r="B68" s="9" t="n">
        <f aca="false">$B$4*2^INT((A68-1)/$B$7)</f>
        <v>8</v>
      </c>
      <c r="C68" s="9" t="n">
        <f aca="false">SUM($B$12:B68)</f>
        <v>133.5</v>
      </c>
      <c r="D68" s="9" t="n">
        <f aca="false">$B$5-C68</f>
        <v>-33.5</v>
      </c>
      <c r="E68" s="10" t="n">
        <f aca="false">($F$5/100)^A68</f>
        <v>9.87066852027011E-005</v>
      </c>
      <c r="F68" s="9" t="n">
        <f aca="false">B68*$B$6</f>
        <v>119.52</v>
      </c>
    </row>
    <row r="69" customFormat="false" ht="15" hidden="false" customHeight="true" outlineLevel="0" collapsed="false">
      <c r="A69" s="4" t="n">
        <v>58</v>
      </c>
      <c r="B69" s="9" t="n">
        <f aca="false">$B$4*2^INT((A69-1)/$B$7)</f>
        <v>8</v>
      </c>
      <c r="C69" s="9" t="n">
        <f aca="false">SUM($B$12:B69)</f>
        <v>141.5</v>
      </c>
      <c r="D69" s="9" t="n">
        <f aca="false">$B$5-C69</f>
        <v>-41.5</v>
      </c>
      <c r="E69" s="10" t="n">
        <f aca="false">($F$5/100)^A69</f>
        <v>8.39599064334176E-005</v>
      </c>
      <c r="F69" s="9" t="n">
        <f aca="false">B69*$B$6</f>
        <v>119.52</v>
      </c>
    </row>
    <row r="70" customFormat="false" ht="15" hidden="false" customHeight="true" outlineLevel="0" collapsed="false">
      <c r="A70" s="4" t="n">
        <v>59</v>
      </c>
      <c r="B70" s="9" t="n">
        <f aca="false">$B$4*2^INT((A70-1)/$B$7)</f>
        <v>8</v>
      </c>
      <c r="C70" s="9" t="n">
        <f aca="false">SUM($B$12:B70)</f>
        <v>149.5</v>
      </c>
      <c r="D70" s="9" t="n">
        <f aca="false">$B$5-C70</f>
        <v>-49.5</v>
      </c>
      <c r="E70" s="10" t="n">
        <f aca="false">($F$5/100)^A70</f>
        <v>7.1416296412265E-005</v>
      </c>
      <c r="F70" s="9" t="n">
        <f aca="false">B70*$B$6</f>
        <v>119.52</v>
      </c>
    </row>
    <row r="71" customFormat="false" ht="15" hidden="false" customHeight="true" outlineLevel="0" collapsed="false">
      <c r="A71" s="4" t="n">
        <v>60</v>
      </c>
      <c r="B71" s="9" t="n">
        <f aca="false">$B$4*2^INT((A71-1)/$B$7)</f>
        <v>8</v>
      </c>
      <c r="C71" s="9" t="n">
        <f aca="false">SUM($B$12:B71)</f>
        <v>157.5</v>
      </c>
      <c r="D71" s="9" t="n">
        <f aca="false">$B$5-C71</f>
        <v>-57.5</v>
      </c>
      <c r="E71" s="10" t="n">
        <f aca="false">($F$5/100)^A71</f>
        <v>6.07467017282726E-005</v>
      </c>
      <c r="F71" s="9" t="n">
        <f aca="false">B71*$B$6</f>
        <v>119.52</v>
      </c>
    </row>
    <row r="72" customFormat="false" ht="15" hidden="false" customHeight="true" outlineLevel="0" collapsed="false">
      <c r="A72" s="4" t="n">
        <v>61</v>
      </c>
      <c r="B72" s="9" t="n">
        <f aca="false">$B$4*2^INT((A72-1)/$B$7)</f>
        <v>16</v>
      </c>
      <c r="C72" s="9" t="n">
        <f aca="false">SUM($B$12:B72)</f>
        <v>173.5</v>
      </c>
      <c r="D72" s="9" t="n">
        <f aca="false">$B$5-C72</f>
        <v>-73.5</v>
      </c>
      <c r="E72" s="10" t="n">
        <f aca="false">($F$5/100)^A72</f>
        <v>5.16711444900687E-005</v>
      </c>
      <c r="F72" s="9" t="n">
        <f aca="false">B72*$B$6</f>
        <v>239.04</v>
      </c>
    </row>
    <row r="73" customFormat="false" ht="15" hidden="false" customHeight="true" outlineLevel="0" collapsed="false">
      <c r="A73" s="4" t="n">
        <v>62</v>
      </c>
      <c r="B73" s="9" t="n">
        <f aca="false">$B$4*2^INT((A73-1)/$B$7)</f>
        <v>16</v>
      </c>
      <c r="C73" s="9" t="n">
        <f aca="false">SUM($B$12:B73)</f>
        <v>189.5</v>
      </c>
      <c r="D73" s="9" t="n">
        <f aca="false">$B$5-C73</f>
        <v>-89.5</v>
      </c>
      <c r="E73" s="10" t="n">
        <f aca="false">($F$5/100)^A73</f>
        <v>4.39514755032524E-005</v>
      </c>
      <c r="F73" s="9" t="n">
        <f aca="false">B73*$B$6</f>
        <v>239.04</v>
      </c>
    </row>
    <row r="74" customFormat="false" ht="15" hidden="false" customHeight="true" outlineLevel="0" collapsed="false">
      <c r="A74" s="4" t="n">
        <v>63</v>
      </c>
      <c r="B74" s="9" t="n">
        <f aca="false">$B$4*2^INT((A74-1)/$B$7)</f>
        <v>16</v>
      </c>
      <c r="C74" s="9" t="n">
        <f aca="false">SUM($B$12:B74)</f>
        <v>205.5</v>
      </c>
      <c r="D74" s="9" t="n">
        <f aca="false">$B$5-C74</f>
        <v>-105.5</v>
      </c>
      <c r="E74" s="10" t="n">
        <f aca="false">($F$5/100)^A74</f>
        <v>3.73851250630665E-005</v>
      </c>
      <c r="F74" s="9" t="n">
        <f aca="false">B74*$B$6</f>
        <v>239.04</v>
      </c>
    </row>
    <row r="75" customFormat="false" ht="15" hidden="false" customHeight="true" outlineLevel="0" collapsed="false">
      <c r="A75" s="4" t="n">
        <v>64</v>
      </c>
      <c r="B75" s="9" t="n">
        <f aca="false">$B$4*2^INT((A75-1)/$B$7)</f>
        <v>16</v>
      </c>
      <c r="C75" s="9" t="n">
        <f aca="false">SUM($B$12:B75)</f>
        <v>221.5</v>
      </c>
      <c r="D75" s="9" t="n">
        <f aca="false">$B$5-C75</f>
        <v>-121.5</v>
      </c>
      <c r="E75" s="10" t="n">
        <f aca="false">($F$5/100)^A75</f>
        <v>3.17997873786444E-005</v>
      </c>
      <c r="F75" s="9" t="n">
        <f aca="false">B75*$B$6</f>
        <v>239.04</v>
      </c>
    </row>
    <row r="76" customFormat="false" ht="15" hidden="false" customHeight="true" outlineLevel="0" collapsed="false">
      <c r="A76" s="4" t="n">
        <v>65</v>
      </c>
      <c r="B76" s="9" t="n">
        <f aca="false">$B$4*2^INT((A76-1)/$B$7)</f>
        <v>16</v>
      </c>
      <c r="C76" s="9" t="n">
        <f aca="false">SUM($B$12:B76)</f>
        <v>237.5</v>
      </c>
      <c r="D76" s="9" t="n">
        <f aca="false">$B$5-C76</f>
        <v>-137.5</v>
      </c>
      <c r="E76" s="10" t="n">
        <f aca="false">($F$5/100)^A76</f>
        <v>2.70488991442749E-005</v>
      </c>
      <c r="F76" s="9" t="n">
        <f aca="false">B76*$B$6</f>
        <v>239.04</v>
      </c>
    </row>
    <row r="77" customFormat="false" ht="15" hidden="false" customHeight="true" outlineLevel="0" collapsed="false">
      <c r="A77" s="4" t="n">
        <v>66</v>
      </c>
      <c r="B77" s="9" t="n">
        <f aca="false">$B$4*2^INT((A77-1)/$B$7)</f>
        <v>16</v>
      </c>
      <c r="C77" s="9" t="n">
        <f aca="false">SUM($B$12:B77)</f>
        <v>253.5</v>
      </c>
      <c r="D77" s="9" t="n">
        <f aca="false">$B$5-C77</f>
        <v>-153.5</v>
      </c>
      <c r="E77" s="10" t="n">
        <f aca="false">($F$5/100)^A77</f>
        <v>2.30077936121202E-005</v>
      </c>
      <c r="F77" s="9" t="n">
        <f aca="false">B77*$B$6</f>
        <v>239.04</v>
      </c>
    </row>
    <row r="78" customFormat="false" ht="15" hidden="false" customHeight="true" outlineLevel="0" collapsed="false">
      <c r="A78" s="4" t="n">
        <v>67</v>
      </c>
      <c r="B78" s="9" t="n">
        <f aca="false">$B$4*2^INT((A78-1)/$B$7)</f>
        <v>16</v>
      </c>
      <c r="C78" s="9" t="n">
        <f aca="false">SUM($B$12:B78)</f>
        <v>269.5</v>
      </c>
      <c r="D78" s="9" t="n">
        <f aca="false">$B$5-C78</f>
        <v>-169.5</v>
      </c>
      <c r="E78" s="10" t="n">
        <f aca="false">($F$5/100)^A78</f>
        <v>1.95704292464695E-005</v>
      </c>
      <c r="F78" s="9" t="n">
        <f aca="false">B78*$B$6</f>
        <v>239.04</v>
      </c>
    </row>
    <row r="79" customFormat="false" ht="15" hidden="false" customHeight="true" outlineLevel="0" collapsed="false">
      <c r="A79" s="4" t="n">
        <v>68</v>
      </c>
      <c r="B79" s="9" t="n">
        <f aca="false">$B$4*2^INT((A79-1)/$B$7)</f>
        <v>16</v>
      </c>
      <c r="C79" s="9" t="n">
        <f aca="false">SUM($B$12:B79)</f>
        <v>285.5</v>
      </c>
      <c r="D79" s="9" t="n">
        <f aca="false">$B$5-C79</f>
        <v>-185.5</v>
      </c>
      <c r="E79" s="10" t="n">
        <f aca="false">($F$5/100)^A79</f>
        <v>1.66466071170469E-005</v>
      </c>
      <c r="F79" s="9" t="n">
        <f aca="false">B79*$B$6</f>
        <v>239.04</v>
      </c>
    </row>
    <row r="80" customFormat="false" ht="15" hidden="false" customHeight="true" outlineLevel="0" collapsed="false">
      <c r="A80" s="4" t="n">
        <v>69</v>
      </c>
      <c r="B80" s="9" t="n">
        <f aca="false">$B$4*2^INT((A80-1)/$B$7)</f>
        <v>16</v>
      </c>
      <c r="C80" s="9" t="n">
        <f aca="false">SUM($B$12:B80)</f>
        <v>301.5</v>
      </c>
      <c r="D80" s="9" t="n">
        <f aca="false">$B$5-C80</f>
        <v>-201.5</v>
      </c>
      <c r="E80" s="10" t="n">
        <f aca="false">($F$5/100)^A80</f>
        <v>1.41596040137601E-005</v>
      </c>
      <c r="F80" s="9" t="n">
        <f aca="false">B80*$B$6</f>
        <v>239.04</v>
      </c>
    </row>
    <row r="81" customFormat="false" ht="15" hidden="false" customHeight="true" outlineLevel="0" collapsed="false">
      <c r="A81" s="4" t="n">
        <v>70</v>
      </c>
      <c r="B81" s="9" t="n">
        <f aca="false">$B$4*2^INT((A81-1)/$B$7)</f>
        <v>16</v>
      </c>
      <c r="C81" s="9" t="n">
        <f aca="false">SUM($B$12:B81)</f>
        <v>317.5</v>
      </c>
      <c r="D81" s="9" t="n">
        <f aca="false">$B$5-C81</f>
        <v>-217.5</v>
      </c>
      <c r="E81" s="10" t="n">
        <f aca="false">($F$5/100)^A81</f>
        <v>1.20441591741044E-005</v>
      </c>
      <c r="F81" s="9" t="n">
        <f aca="false">B81*$B$6</f>
        <v>239.04</v>
      </c>
    </row>
    <row r="82" customFormat="false" ht="15" hidden="false" customHeight="true" outlineLevel="0" collapsed="false">
      <c r="A82" s="4" t="n">
        <v>71</v>
      </c>
      <c r="B82" s="9" t="n">
        <f aca="false">$B$4*2^INT((A82-1)/$B$7)</f>
        <v>32</v>
      </c>
      <c r="C82" s="9" t="n">
        <f aca="false">SUM($B$12:B82)</f>
        <v>349.5</v>
      </c>
      <c r="D82" s="9" t="n">
        <f aca="false">$B$5-C82</f>
        <v>-249.5</v>
      </c>
      <c r="E82" s="10" t="n">
        <f aca="false">($F$5/100)^A82</f>
        <v>1.02447617934932E-005</v>
      </c>
      <c r="F82" s="9" t="n">
        <f aca="false">B82*$B$6</f>
        <v>478.08</v>
      </c>
    </row>
    <row r="83" customFormat="false" ht="15" hidden="false" customHeight="true" outlineLevel="0" collapsed="false">
      <c r="A83" s="4" t="n">
        <v>72</v>
      </c>
      <c r="B83" s="9" t="n">
        <f aca="false">$B$4*2^INT((A83-1)/$B$7)</f>
        <v>32</v>
      </c>
      <c r="C83" s="9" t="n">
        <f aca="false">SUM($B$12:B83)</f>
        <v>381.5</v>
      </c>
      <c r="D83" s="9" t="n">
        <f aca="false">$B$5-C83</f>
        <v>-281.5</v>
      </c>
      <c r="E83" s="10" t="n">
        <f aca="false">($F$5/100)^A83</f>
        <v>8.71419438154529E-006</v>
      </c>
      <c r="F83" s="9" t="n">
        <f aca="false">B83*$B$6</f>
        <v>478.08</v>
      </c>
    </row>
    <row r="84" customFormat="false" ht="15" hidden="false" customHeight="true" outlineLevel="0" collapsed="false">
      <c r="A84" s="4" t="n">
        <v>73</v>
      </c>
      <c r="B84" s="9" t="n">
        <f aca="false">$B$4*2^INT((A84-1)/$B$7)</f>
        <v>32</v>
      </c>
      <c r="C84" s="9" t="n">
        <f aca="false">SUM($B$12:B84)</f>
        <v>413.5</v>
      </c>
      <c r="D84" s="9" t="n">
        <f aca="false">$B$5-C84</f>
        <v>-313.5</v>
      </c>
      <c r="E84" s="10" t="n">
        <f aca="false">($F$5/100)^A84</f>
        <v>7.41229374094243E-006</v>
      </c>
      <c r="F84" s="9" t="n">
        <f aca="false">B84*$B$6</f>
        <v>478.08</v>
      </c>
    </row>
    <row r="85" customFormat="false" ht="15" hidden="false" customHeight="true" outlineLevel="0" collapsed="false">
      <c r="A85" s="4" t="n">
        <v>74</v>
      </c>
      <c r="B85" s="9" t="n">
        <f aca="false">$B$4*2^INT((A85-1)/$B$7)</f>
        <v>32</v>
      </c>
      <c r="C85" s="9" t="n">
        <f aca="false">SUM($B$12:B85)</f>
        <v>445.5</v>
      </c>
      <c r="D85" s="9" t="n">
        <f aca="false">$B$5-C85</f>
        <v>-345.5</v>
      </c>
      <c r="E85" s="10" t="n">
        <f aca="false">($F$5/100)^A85</f>
        <v>6.30489705604563E-006</v>
      </c>
      <c r="F85" s="9" t="n">
        <f aca="false">B85*$B$6</f>
        <v>478.08</v>
      </c>
    </row>
    <row r="86" customFormat="false" ht="15" hidden="false" customHeight="true" outlineLevel="0" collapsed="false">
      <c r="A86" s="4" t="n">
        <v>75</v>
      </c>
      <c r="B86" s="9" t="n">
        <f aca="false">$B$4*2^INT((A86-1)/$B$7)</f>
        <v>32</v>
      </c>
      <c r="C86" s="9" t="n">
        <f aca="false">SUM($B$12:B86)</f>
        <v>477.5</v>
      </c>
      <c r="D86" s="9" t="n">
        <f aca="false">$B$5-C86</f>
        <v>-377.5</v>
      </c>
      <c r="E86" s="10" t="n">
        <f aca="false">($F$5/100)^A86</f>
        <v>5.36294543587241E-006</v>
      </c>
      <c r="F86" s="9" t="n">
        <f aca="false">B86*$B$6</f>
        <v>478.08</v>
      </c>
    </row>
    <row r="87" customFormat="false" ht="15" hidden="false" customHeight="true" outlineLevel="0" collapsed="false">
      <c r="A87" s="4" t="n">
        <v>76</v>
      </c>
      <c r="B87" s="9" t="n">
        <f aca="false">$B$4*2^INT((A87-1)/$B$7)</f>
        <v>32</v>
      </c>
      <c r="C87" s="9" t="n">
        <f aca="false">SUM($B$12:B87)</f>
        <v>509.5</v>
      </c>
      <c r="D87" s="9" t="n">
        <f aca="false">$B$5-C87</f>
        <v>-409.5</v>
      </c>
      <c r="E87" s="10" t="n">
        <f aca="false">($F$5/100)^A87</f>
        <v>4.56172138775307E-006</v>
      </c>
      <c r="F87" s="9" t="n">
        <f aca="false">B87*$B$6</f>
        <v>478.08</v>
      </c>
    </row>
    <row r="88" customFormat="false" ht="15" hidden="false" customHeight="true" outlineLevel="0" collapsed="false">
      <c r="A88" s="4" t="n">
        <v>77</v>
      </c>
      <c r="B88" s="9" t="n">
        <f aca="false">$B$4*2^INT((A88-1)/$B$7)</f>
        <v>32</v>
      </c>
      <c r="C88" s="9" t="n">
        <f aca="false">SUM($B$12:B88)</f>
        <v>541.5</v>
      </c>
      <c r="D88" s="9" t="n">
        <f aca="false">$B$5-C88</f>
        <v>-441.5</v>
      </c>
      <c r="E88" s="10" t="n">
        <f aca="false">($F$5/100)^A88</f>
        <v>3.88020021242276E-006</v>
      </c>
      <c r="F88" s="9" t="n">
        <f aca="false">B88*$B$6</f>
        <v>478.08</v>
      </c>
    </row>
    <row r="89" customFormat="false" ht="15" hidden="false" customHeight="true" outlineLevel="0" collapsed="false">
      <c r="A89" s="4" t="n">
        <v>78</v>
      </c>
      <c r="B89" s="9" t="n">
        <f aca="false">$B$4*2^INT((A89-1)/$B$7)</f>
        <v>32</v>
      </c>
      <c r="C89" s="9" t="n">
        <f aca="false">SUM($B$12:B89)</f>
        <v>573.5</v>
      </c>
      <c r="D89" s="9" t="n">
        <f aca="false">$B$5-C89</f>
        <v>-473.5</v>
      </c>
      <c r="E89" s="10" t="n">
        <f aca="false">($F$5/100)^A89</f>
        <v>3.3004983006868E-006</v>
      </c>
      <c r="F89" s="9" t="n">
        <f aca="false">B89*$B$6</f>
        <v>478.08</v>
      </c>
    </row>
    <row r="90" customFormat="false" ht="15" hidden="false" customHeight="true" outlineLevel="0" collapsed="false">
      <c r="A90" s="4" t="n">
        <v>79</v>
      </c>
      <c r="B90" s="9" t="n">
        <f aca="false">$B$4*2^INT((A90-1)/$B$7)</f>
        <v>32</v>
      </c>
      <c r="C90" s="9" t="n">
        <f aca="false">SUM($B$12:B90)</f>
        <v>605.5</v>
      </c>
      <c r="D90" s="9" t="n">
        <f aca="false">$B$5-C90</f>
        <v>-505.5</v>
      </c>
      <c r="E90" s="10" t="n">
        <f aca="false">($F$5/100)^A90</f>
        <v>2.80740385456419E-006</v>
      </c>
      <c r="F90" s="9" t="n">
        <f aca="false">B90*$B$6</f>
        <v>478.08</v>
      </c>
    </row>
    <row r="91" customFormat="false" ht="15" hidden="false" customHeight="true" outlineLevel="0" collapsed="false">
      <c r="A91" s="4" t="n">
        <v>80</v>
      </c>
      <c r="B91" s="9" t="n">
        <f aca="false">$B$4*2^INT((A91-1)/$B$7)</f>
        <v>32</v>
      </c>
      <c r="C91" s="9" t="n">
        <f aca="false">SUM($B$12:B91)</f>
        <v>637.5</v>
      </c>
      <c r="D91" s="9" t="n">
        <f aca="false">$B$5-C91</f>
        <v>-537.5</v>
      </c>
      <c r="E91" s="10" t="n">
        <f aca="false">($F$5/100)^A91</f>
        <v>2.3879777186923E-006</v>
      </c>
      <c r="F91" s="9" t="n">
        <f aca="false">B91*$B$6</f>
        <v>478.08</v>
      </c>
    </row>
    <row r="92" customFormat="false" ht="15" hidden="false" customHeight="true" outlineLevel="0" collapsed="false">
      <c r="A92" s="4" t="n">
        <v>81</v>
      </c>
      <c r="B92" s="9" t="n">
        <f aca="false">$B$4*2^INT((A92-1)/$B$7)</f>
        <v>64</v>
      </c>
      <c r="C92" s="9" t="n">
        <f aca="false">SUM($B$12:B92)</f>
        <v>701.5</v>
      </c>
      <c r="D92" s="9" t="n">
        <f aca="false">$B$5-C92</f>
        <v>-601.5</v>
      </c>
      <c r="E92" s="10" t="n">
        <f aca="false">($F$5/100)^A92</f>
        <v>2.03121384751967E-006</v>
      </c>
      <c r="F92" s="9" t="n">
        <f aca="false">B92*$B$6</f>
        <v>956.16</v>
      </c>
    </row>
    <row r="93" customFormat="false" ht="15" hidden="false" customHeight="true" outlineLevel="0" collapsed="false">
      <c r="A93" s="4" t="n">
        <v>82</v>
      </c>
      <c r="B93" s="9" t="n">
        <f aca="false">$B$4*2^INT((A93-1)/$B$7)</f>
        <v>64</v>
      </c>
      <c r="C93" s="9" t="n">
        <f aca="false">SUM($B$12:B93)</f>
        <v>765.5</v>
      </c>
      <c r="D93" s="9" t="n">
        <f aca="false">$B$5-C93</f>
        <v>-665.5</v>
      </c>
      <c r="E93" s="10" t="n">
        <f aca="false">($F$5/100)^A93</f>
        <v>1.72775049870023E-006</v>
      </c>
      <c r="F93" s="9" t="n">
        <f aca="false">B93*$B$6</f>
        <v>956.16</v>
      </c>
    </row>
    <row r="94" customFormat="false" ht="15" hidden="false" customHeight="true" outlineLevel="0" collapsed="false">
      <c r="A94" s="4" t="n">
        <v>83</v>
      </c>
      <c r="B94" s="9" t="n">
        <f aca="false">$B$4*2^INT((A94-1)/$B$7)</f>
        <v>64</v>
      </c>
      <c r="C94" s="9" t="n">
        <f aca="false">SUM($B$12:B94)</f>
        <v>829.5</v>
      </c>
      <c r="D94" s="9" t="n">
        <f aca="false">$B$5-C94</f>
        <v>-729.5</v>
      </c>
      <c r="E94" s="10" t="n">
        <f aca="false">($F$5/100)^A94</f>
        <v>1.46962457419442E-006</v>
      </c>
      <c r="F94" s="9" t="n">
        <f aca="false">B94*$B$6</f>
        <v>956.16</v>
      </c>
    </row>
    <row r="95" customFormat="false" ht="15" hidden="false" customHeight="true" outlineLevel="0" collapsed="false">
      <c r="A95" s="4" t="n">
        <v>84</v>
      </c>
      <c r="B95" s="9" t="n">
        <f aca="false">$B$4*2^INT((A95-1)/$B$7)</f>
        <v>64</v>
      </c>
      <c r="C95" s="9" t="n">
        <f aca="false">SUM($B$12:B95)</f>
        <v>893.5</v>
      </c>
      <c r="D95" s="9" t="n">
        <f aca="false">$B$5-C95</f>
        <v>-793.5</v>
      </c>
      <c r="E95" s="10" t="n">
        <f aca="false">($F$5/100)^A95</f>
        <v>1.25006266280977E-006</v>
      </c>
      <c r="F95" s="9" t="n">
        <f aca="false">B95*$B$6</f>
        <v>956.16</v>
      </c>
    </row>
    <row r="96" customFormat="false" ht="15" hidden="false" customHeight="true" outlineLevel="0" collapsed="false">
      <c r="A96" s="4" t="n">
        <v>85</v>
      </c>
      <c r="B96" s="9" t="n">
        <f aca="false">$B$4*2^INT((A96-1)/$B$7)</f>
        <v>64</v>
      </c>
      <c r="C96" s="9" t="n">
        <f aca="false">SUM($B$12:B96)</f>
        <v>957.5</v>
      </c>
      <c r="D96" s="9" t="n">
        <f aca="false">$B$5-C96</f>
        <v>-857.5</v>
      </c>
      <c r="E96" s="10" t="n">
        <f aca="false">($F$5/100)^A96</f>
        <v>1.06330330098599E-006</v>
      </c>
      <c r="F96" s="9" t="n">
        <f aca="false">B96*$B$6</f>
        <v>956.16</v>
      </c>
    </row>
    <row r="97" customFormat="false" ht="15" hidden="false" customHeight="true" outlineLevel="0" collapsed="false">
      <c r="A97" s="4" t="n">
        <v>86</v>
      </c>
      <c r="B97" s="9" t="n">
        <f aca="false">$B$4*2^INT((A97-1)/$B$7)</f>
        <v>64</v>
      </c>
      <c r="C97" s="9" t="n">
        <f aca="false">SUM($B$12:B97)</f>
        <v>1021.5</v>
      </c>
      <c r="D97" s="9" t="n">
        <f aca="false">$B$5-C97</f>
        <v>-921.5</v>
      </c>
      <c r="E97" s="10" t="n">
        <f aca="false">($F$5/100)^A97</f>
        <v>9.04445787818686E-007</v>
      </c>
      <c r="F97" s="9" t="n">
        <f aca="false">B97*$B$6</f>
        <v>956.16</v>
      </c>
    </row>
    <row r="98" customFormat="false" ht="15" hidden="false" customHeight="true" outlineLevel="0" collapsed="false">
      <c r="A98" s="4" t="n">
        <v>87</v>
      </c>
      <c r="B98" s="9" t="n">
        <f aca="false">$B$4*2^INT((A98-1)/$B$7)</f>
        <v>64</v>
      </c>
      <c r="C98" s="9" t="n">
        <f aca="false">SUM($B$12:B98)</f>
        <v>1085.5</v>
      </c>
      <c r="D98" s="9" t="n">
        <f aca="false">$B$5-C98</f>
        <v>-985.5</v>
      </c>
      <c r="E98" s="10" t="n">
        <f aca="false">($F$5/100)^A98</f>
        <v>7.69321587118574E-007</v>
      </c>
      <c r="F98" s="9" t="n">
        <f aca="false">B98*$B$6</f>
        <v>956.16</v>
      </c>
    </row>
    <row r="99" customFormat="false" ht="15" hidden="false" customHeight="true" outlineLevel="0" collapsed="false">
      <c r="A99" s="4" t="n">
        <v>88</v>
      </c>
      <c r="B99" s="9" t="n">
        <f aca="false">$B$4*2^INT((A99-1)/$B$7)</f>
        <v>64</v>
      </c>
      <c r="C99" s="9" t="n">
        <f aca="false">SUM($B$12:B99)</f>
        <v>1149.5</v>
      </c>
      <c r="D99" s="9" t="n">
        <f aca="false">$B$5-C99</f>
        <v>-1049.5</v>
      </c>
      <c r="E99" s="10" t="n">
        <f aca="false">($F$5/100)^A99</f>
        <v>6.54384942003059E-007</v>
      </c>
      <c r="F99" s="9" t="n">
        <f aca="false">B99*$B$6</f>
        <v>956.16</v>
      </c>
    </row>
    <row r="100" customFormat="false" ht="15" hidden="false" customHeight="true" outlineLevel="0" collapsed="false">
      <c r="A100" s="4" t="n">
        <v>89</v>
      </c>
      <c r="B100" s="9" t="n">
        <f aca="false">$B$4*2^INT((A100-1)/$B$7)</f>
        <v>64</v>
      </c>
      <c r="C100" s="9" t="n">
        <f aca="false">SUM($B$12:B100)</f>
        <v>1213.5</v>
      </c>
      <c r="D100" s="9" t="n">
        <f aca="false">$B$5-C100</f>
        <v>-1113.5</v>
      </c>
      <c r="E100" s="10" t="n">
        <f aca="false">($F$5/100)^A100</f>
        <v>5.56619831667802E-007</v>
      </c>
      <c r="F100" s="9" t="n">
        <f aca="false">B100*$B$6</f>
        <v>956.16</v>
      </c>
    </row>
    <row r="101" customFormat="false" ht="15" hidden="false" customHeight="true" outlineLevel="0" collapsed="false">
      <c r="A101" s="4" t="n">
        <v>90</v>
      </c>
      <c r="B101" s="9" t="n">
        <f aca="false">$B$4*2^INT((A101-1)/$B$7)</f>
        <v>64</v>
      </c>
      <c r="C101" s="9" t="n">
        <f aca="false">SUM($B$12:B101)</f>
        <v>1277.5</v>
      </c>
      <c r="D101" s="9" t="n">
        <f aca="false">$B$5-C101</f>
        <v>-1177.5</v>
      </c>
      <c r="E101" s="10" t="n">
        <f aca="false">($F$5/100)^A101</f>
        <v>4.73460828816633E-007</v>
      </c>
      <c r="F101" s="9" t="n">
        <f aca="false">B101*$B$6</f>
        <v>956.16</v>
      </c>
    </row>
    <row r="102" customFormat="false" ht="15" hidden="false" customHeight="true" outlineLevel="0" collapsed="false">
      <c r="A102" s="4" t="n">
        <v>91</v>
      </c>
      <c r="B102" s="9" t="n">
        <f aca="false">$B$4*2^INT((A102-1)/$B$7)</f>
        <v>128</v>
      </c>
      <c r="C102" s="9" t="n">
        <f aca="false">SUM($B$12:B102)</f>
        <v>1405.5</v>
      </c>
      <c r="D102" s="9" t="n">
        <f aca="false">$B$5-C102</f>
        <v>-1305.5</v>
      </c>
      <c r="E102" s="10" t="n">
        <f aca="false">($F$5/100)^A102</f>
        <v>4.02725780991428E-007</v>
      </c>
      <c r="F102" s="9" t="n">
        <f aca="false">B102*$B$6</f>
        <v>1912.32</v>
      </c>
    </row>
    <row r="103" customFormat="false" ht="15" hidden="false" customHeight="true" outlineLevel="0" collapsed="false">
      <c r="A103" s="4" t="n">
        <v>92</v>
      </c>
      <c r="B103" s="9" t="n">
        <f aca="false">$B$4*2^INT((A103-1)/$B$7)</f>
        <v>128</v>
      </c>
      <c r="C103" s="9" t="n">
        <f aca="false">SUM($B$12:B103)</f>
        <v>1533.5</v>
      </c>
      <c r="D103" s="9" t="n">
        <f aca="false">$B$5-C103</f>
        <v>-1433.5</v>
      </c>
      <c r="E103" s="10" t="n">
        <f aca="false">($F$5/100)^A103</f>
        <v>3.42558549311308E-007</v>
      </c>
      <c r="F103" s="9" t="n">
        <f aca="false">B103*$B$6</f>
        <v>1912.32</v>
      </c>
    </row>
    <row r="104" customFormat="false" ht="15" hidden="false" customHeight="true" outlineLevel="0" collapsed="false">
      <c r="A104" s="4" t="n">
        <v>93</v>
      </c>
      <c r="B104" s="9" t="n">
        <f aca="false">$B$4*2^INT((A104-1)/$B$7)</f>
        <v>128</v>
      </c>
      <c r="C104" s="9" t="n">
        <f aca="false">SUM($B$12:B104)</f>
        <v>1661.5</v>
      </c>
      <c r="D104" s="9" t="n">
        <f aca="false">$B$5-C104</f>
        <v>-1561.5</v>
      </c>
      <c r="E104" s="10" t="n">
        <f aca="false">($F$5/100)^A104</f>
        <v>2.91380302044199E-007</v>
      </c>
      <c r="F104" s="9" t="n">
        <f aca="false">B104*$B$6</f>
        <v>1912.32</v>
      </c>
    </row>
    <row r="105" customFormat="false" ht="15" hidden="false" customHeight="true" outlineLevel="0" collapsed="false">
      <c r="A105" s="4" t="n">
        <v>94</v>
      </c>
      <c r="B105" s="9" t="n">
        <f aca="false">$B$4*2^INT((A105-1)/$B$7)</f>
        <v>128</v>
      </c>
      <c r="C105" s="9" t="n">
        <f aca="false">SUM($B$12:B105)</f>
        <v>1789.5</v>
      </c>
      <c r="D105" s="9" t="n">
        <f aca="false">$B$5-C105</f>
        <v>-1689.5</v>
      </c>
      <c r="E105" s="10" t="n">
        <f aca="false">($F$5/100)^A105</f>
        <v>2.47848084918796E-007</v>
      </c>
      <c r="F105" s="9" t="n">
        <f aca="false">B105*$B$6</f>
        <v>1912.32</v>
      </c>
    </row>
    <row r="106" customFormat="false" ht="15" hidden="false" customHeight="true" outlineLevel="0" collapsed="false">
      <c r="A106" s="4" t="n">
        <v>95</v>
      </c>
      <c r="B106" s="9" t="n">
        <f aca="false">$B$4*2^INT((A106-1)/$B$7)</f>
        <v>128</v>
      </c>
      <c r="C106" s="9" t="n">
        <f aca="false">SUM($B$12:B106)</f>
        <v>1917.5</v>
      </c>
      <c r="D106" s="9" t="n">
        <f aca="false">$B$5-C106</f>
        <v>-1817.5</v>
      </c>
      <c r="E106" s="10" t="n">
        <f aca="false">($F$5/100)^A106</f>
        <v>2.10819581031928E-007</v>
      </c>
      <c r="F106" s="9" t="n">
        <f aca="false">B106*$B$6</f>
        <v>1912.32</v>
      </c>
    </row>
    <row r="107" customFormat="false" ht="15" hidden="false" customHeight="true" outlineLevel="0" collapsed="false">
      <c r="A107" s="4" t="n">
        <v>96</v>
      </c>
      <c r="B107" s="9" t="n">
        <f aca="false">$B$4*2^INT((A107-1)/$B$7)</f>
        <v>128</v>
      </c>
      <c r="C107" s="9" t="n">
        <f aca="false">SUM($B$12:B107)</f>
        <v>2045.5</v>
      </c>
      <c r="D107" s="9" t="n">
        <f aca="false">$B$5-C107</f>
        <v>-1945.5</v>
      </c>
      <c r="E107" s="10" t="n">
        <f aca="false">($F$5/100)^A107</f>
        <v>1.79323135625758E-007</v>
      </c>
      <c r="F107" s="9" t="n">
        <f aca="false">B107*$B$6</f>
        <v>1912.32</v>
      </c>
    </row>
    <row r="108" customFormat="false" ht="15" hidden="false" customHeight="true" outlineLevel="0" collapsed="false">
      <c r="A108" s="4" t="n">
        <v>97</v>
      </c>
      <c r="B108" s="9" t="n">
        <f aca="false">$B$4*2^INT((A108-1)/$B$7)</f>
        <v>128</v>
      </c>
      <c r="C108" s="9" t="n">
        <f aca="false">SUM($B$12:B108)</f>
        <v>2173.5</v>
      </c>
      <c r="D108" s="9" t="n">
        <f aca="false">$B$5-C108</f>
        <v>-2073.5</v>
      </c>
      <c r="E108" s="10" t="n">
        <f aca="false">($F$5/100)^A108</f>
        <v>1.52532259163269E-007</v>
      </c>
      <c r="F108" s="9" t="n">
        <f aca="false">B108*$B$6</f>
        <v>1912.32</v>
      </c>
    </row>
    <row r="109" customFormat="false" ht="15" hidden="false" customHeight="true" outlineLevel="0" collapsed="false">
      <c r="A109" s="4" t="n">
        <v>98</v>
      </c>
      <c r="B109" s="9" t="n">
        <f aca="false">$B$4*2^INT((A109-1)/$B$7)</f>
        <v>128</v>
      </c>
      <c r="C109" s="9" t="n">
        <f aca="false">SUM($B$12:B109)</f>
        <v>2301.5</v>
      </c>
      <c r="D109" s="9" t="n">
        <f aca="false">$B$5-C109</f>
        <v>-2201.5</v>
      </c>
      <c r="E109" s="10" t="n">
        <f aca="false">($F$5/100)^A109</f>
        <v>1.29743939644277E-007</v>
      </c>
      <c r="F109" s="9" t="n">
        <f aca="false">B109*$B$6</f>
        <v>1912.32</v>
      </c>
    </row>
    <row r="110" customFormat="false" ht="15" hidden="false" customHeight="true" outlineLevel="0" collapsed="false">
      <c r="A110" s="4" t="n">
        <v>99</v>
      </c>
      <c r="B110" s="9" t="n">
        <f aca="false">$B$4*2^INT((A110-1)/$B$7)</f>
        <v>128</v>
      </c>
      <c r="C110" s="9" t="n">
        <f aca="false">SUM($B$12:B110)</f>
        <v>2429.5</v>
      </c>
      <c r="D110" s="9" t="n">
        <f aca="false">$B$5-C110</f>
        <v>-2329.5</v>
      </c>
      <c r="E110" s="10" t="n">
        <f aca="false">($F$5/100)^A110</f>
        <v>1.10360195061422E-007</v>
      </c>
      <c r="F110" s="9" t="n">
        <f aca="false">B110*$B$6</f>
        <v>1912.32</v>
      </c>
    </row>
    <row r="111" customFormat="false" ht="15" hidden="false" customHeight="true" outlineLevel="0" collapsed="false">
      <c r="A111" s="4" t="n">
        <v>100</v>
      </c>
      <c r="B111" s="9" t="n">
        <f aca="false">$B$4*2^INT((A111-1)/$B$7)</f>
        <v>128</v>
      </c>
      <c r="C111" s="9" t="n">
        <f aca="false">SUM($B$12:B111)</f>
        <v>2557.5</v>
      </c>
      <c r="D111" s="9" t="n">
        <f aca="false">$B$5-C111</f>
        <v>-2457.5</v>
      </c>
      <c r="E111" s="10" t="n">
        <f aca="false">($F$5/100)^A111</f>
        <v>9.38723819192455E-008</v>
      </c>
      <c r="F111" s="9" t="n">
        <f aca="false">B111*$B$6</f>
        <v>1912.32</v>
      </c>
    </row>
  </sheetData>
  <mergeCells count="3">
    <mergeCell ref="D3:E3"/>
    <mergeCell ref="D4:E4"/>
    <mergeCell ref="D5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2026-04-21T17:53:54Z</dcterms:created>
  <dc:creator>User</dc:creator>
  <dc:description/>
  <dc:language>en-US</dc:language>
  <cp:lastModifiedBy>User</cp:lastModifiedBy>
  <dcterms:modified xsi:type="dcterms:W3CDTF">2026-04-21T18:04:47Z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